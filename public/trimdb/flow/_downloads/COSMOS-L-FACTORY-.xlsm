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 Demo\Dropbox\FlowParagliders\Line Trim\Cosmos\website\"/>
    </mc:Choice>
  </mc:AlternateContent>
  <xr:revisionPtr revIDLastSave="0" documentId="13_ncr:1_{DCCEA7B0-EC73-43F2-95A4-D2A2D9CBB41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rim 01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8" i="3" l="1"/>
  <c r="Y9" i="3"/>
  <c r="Y10" i="3"/>
  <c r="Y11" i="3"/>
  <c r="X8" i="3"/>
  <c r="X9" i="3"/>
  <c r="X10" i="3"/>
  <c r="X11" i="3"/>
  <c r="W8" i="3"/>
  <c r="W9" i="3"/>
  <c r="W10" i="3"/>
  <c r="W11" i="3"/>
  <c r="S16" i="3"/>
  <c r="S17" i="3"/>
  <c r="S18" i="3"/>
  <c r="N16" i="3"/>
  <c r="Q16" i="3" s="1"/>
  <c r="N17" i="3"/>
  <c r="R17" i="3" s="1"/>
  <c r="N18" i="3"/>
  <c r="R18" i="3" s="1"/>
  <c r="M18" i="3"/>
  <c r="H18" i="3"/>
  <c r="L18" i="3" s="1"/>
  <c r="G18" i="3"/>
  <c r="B18" i="3"/>
  <c r="E18" i="3" s="1"/>
  <c r="R16" i="3" l="1"/>
  <c r="Q18" i="3"/>
  <c r="F18" i="3"/>
  <c r="Q17" i="3"/>
  <c r="K18" i="3"/>
  <c r="AE14" i="3"/>
  <c r="AD14" i="3"/>
  <c r="AC14" i="3"/>
  <c r="AE13" i="3"/>
  <c r="AD13" i="3"/>
  <c r="AC13" i="3"/>
  <c r="AE12" i="3"/>
  <c r="AD12" i="3"/>
  <c r="AC12" i="3"/>
  <c r="AE11" i="3"/>
  <c r="AD11" i="3"/>
  <c r="AC11" i="3"/>
  <c r="AE10" i="3"/>
  <c r="AD10" i="3"/>
  <c r="AC10" i="3"/>
  <c r="AE9" i="3"/>
  <c r="AD9" i="3"/>
  <c r="AC9" i="3"/>
  <c r="AE8" i="3"/>
  <c r="AD8" i="3"/>
  <c r="AC8" i="3"/>
  <c r="AE7" i="3"/>
  <c r="AD7" i="3"/>
  <c r="AC7" i="3"/>
  <c r="AE6" i="3"/>
  <c r="AD6" i="3"/>
  <c r="AC6" i="3"/>
  <c r="AE5" i="3"/>
  <c r="AD5" i="3"/>
  <c r="AC5" i="3"/>
  <c r="AE4" i="3"/>
  <c r="AD4" i="3"/>
  <c r="AC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H5" i="3"/>
  <c r="K5" i="3" s="1"/>
  <c r="H6" i="3"/>
  <c r="K6" i="3" s="1"/>
  <c r="H7" i="3"/>
  <c r="K7" i="3" s="1"/>
  <c r="H8" i="3"/>
  <c r="K8" i="3" s="1"/>
  <c r="H9" i="3"/>
  <c r="L9" i="3" s="1"/>
  <c r="H10" i="3"/>
  <c r="L10" i="3" s="1"/>
  <c r="H11" i="3"/>
  <c r="L11" i="3"/>
  <c r="H12" i="3"/>
  <c r="L12" i="3" s="1"/>
  <c r="H13" i="3"/>
  <c r="L13" i="3" s="1"/>
  <c r="H14" i="3"/>
  <c r="L14" i="3" s="1"/>
  <c r="H15" i="3"/>
  <c r="K15" i="3" s="1"/>
  <c r="H16" i="3"/>
  <c r="K16" i="3" s="1"/>
  <c r="H17" i="3"/>
  <c r="L17" i="3" s="1"/>
  <c r="L5" i="3"/>
  <c r="K17" i="3"/>
  <c r="K11" i="3"/>
  <c r="L7" i="3"/>
  <c r="B4" i="3"/>
  <c r="E4" i="3" s="1"/>
  <c r="B5" i="3"/>
  <c r="E5" i="3" s="1"/>
  <c r="B6" i="3"/>
  <c r="B7" i="3"/>
  <c r="E7" i="3" s="1"/>
  <c r="B8" i="3"/>
  <c r="F8" i="3" s="1"/>
  <c r="B9" i="3"/>
  <c r="F9" i="3" s="1"/>
  <c r="B10" i="3"/>
  <c r="F10" i="3" s="1"/>
  <c r="B11" i="3"/>
  <c r="E11" i="3" s="1"/>
  <c r="B12" i="3"/>
  <c r="F12" i="3" s="1"/>
  <c r="B13" i="3"/>
  <c r="F13" i="3" s="1"/>
  <c r="B14" i="3"/>
  <c r="F14" i="3" s="1"/>
  <c r="B15" i="3"/>
  <c r="E15" i="3" s="1"/>
  <c r="B16" i="3"/>
  <c r="E16" i="3" s="1"/>
  <c r="B17" i="3"/>
  <c r="E17" i="3" s="1"/>
  <c r="N4" i="3"/>
  <c r="R4" i="3" s="1"/>
  <c r="N5" i="3"/>
  <c r="R5" i="3" s="1"/>
  <c r="N6" i="3"/>
  <c r="R6" i="3" s="1"/>
  <c r="N7" i="3"/>
  <c r="Q7" i="3" s="1"/>
  <c r="N8" i="3"/>
  <c r="R8" i="3" s="1"/>
  <c r="N9" i="3"/>
  <c r="R9" i="3" s="1"/>
  <c r="N10" i="3"/>
  <c r="Q10" i="3" s="1"/>
  <c r="N11" i="3"/>
  <c r="Q11" i="3" s="1"/>
  <c r="N12" i="3"/>
  <c r="Q12" i="3" s="1"/>
  <c r="N13" i="3"/>
  <c r="R13" i="3" s="1"/>
  <c r="N14" i="3"/>
  <c r="Q14" i="3" s="1"/>
  <c r="N15" i="3"/>
  <c r="Q15" i="3" s="1"/>
  <c r="E14" i="3"/>
  <c r="F6" i="3"/>
  <c r="E6" i="3"/>
  <c r="W4" i="3"/>
  <c r="G4" i="3"/>
  <c r="H4" i="3"/>
  <c r="K4" i="3" s="1"/>
  <c r="M4" i="3"/>
  <c r="S4" i="3"/>
  <c r="Y4" i="3"/>
  <c r="G5" i="3"/>
  <c r="S5" i="3"/>
  <c r="W5" i="3"/>
  <c r="Y5" i="3"/>
  <c r="G6" i="3"/>
  <c r="S6" i="3"/>
  <c r="W6" i="3"/>
  <c r="Y6" i="3"/>
  <c r="G7" i="3"/>
  <c r="S7" i="3"/>
  <c r="W7" i="3"/>
  <c r="Y7" i="3"/>
  <c r="G8" i="3"/>
  <c r="S8" i="3"/>
  <c r="G9" i="3"/>
  <c r="S9" i="3"/>
  <c r="G10" i="3"/>
  <c r="S10" i="3"/>
  <c r="G11" i="3"/>
  <c r="S11" i="3"/>
  <c r="G12" i="3"/>
  <c r="S12" i="3"/>
  <c r="G13" i="3"/>
  <c r="S13" i="3"/>
  <c r="G14" i="3"/>
  <c r="S14" i="3"/>
  <c r="G15" i="3"/>
  <c r="S15" i="3"/>
  <c r="G16" i="3"/>
  <c r="G17" i="3"/>
  <c r="X7" i="3"/>
  <c r="X6" i="3"/>
  <c r="X5" i="3"/>
  <c r="X4" i="3"/>
  <c r="R11" i="3"/>
  <c r="R14" i="3"/>
  <c r="Q13" i="3"/>
  <c r="Q5" i="3"/>
  <c r="Q6" i="3"/>
  <c r="K13" i="3" l="1"/>
  <c r="F5" i="3"/>
  <c r="F4" i="3"/>
  <c r="E13" i="3"/>
  <c r="E12" i="3"/>
  <c r="L4" i="3"/>
  <c r="L15" i="3"/>
  <c r="K9" i="3"/>
  <c r="Q4" i="3"/>
  <c r="R7" i="3"/>
  <c r="R12" i="3"/>
  <c r="R10" i="3"/>
  <c r="Q8" i="3"/>
  <c r="R15" i="3"/>
  <c r="Q9" i="3"/>
  <c r="L8" i="3"/>
  <c r="L16" i="3"/>
  <c r="L6" i="3"/>
  <c r="K14" i="3"/>
  <c r="K10" i="3"/>
  <c r="K12" i="3"/>
  <c r="F11" i="3"/>
  <c r="E10" i="3"/>
  <c r="E8" i="3"/>
  <c r="F16" i="3"/>
  <c r="E9" i="3"/>
  <c r="F17" i="3"/>
  <c r="F7" i="3"/>
  <c r="F15" i="3"/>
</calcChain>
</file>

<file path=xl/sharedStrings.xml><?xml version="1.0" encoding="utf-8"?>
<sst xmlns="http://schemas.openxmlformats.org/spreadsheetml/2006/main" count="66" uniqueCount="19">
  <si>
    <t>A</t>
  </si>
  <si>
    <t>B</t>
  </si>
  <si>
    <t>C</t>
  </si>
  <si>
    <t>D</t>
  </si>
  <si>
    <t>dir.</t>
  </si>
  <si>
    <t>AS</t>
  </si>
  <si>
    <t>DL</t>
  </si>
  <si>
    <t>X</t>
  </si>
  <si>
    <t>AS+</t>
  </si>
  <si>
    <t>factory</t>
  </si>
  <si>
    <t>LEFT</t>
  </si>
  <si>
    <t>RIGHT</t>
  </si>
  <si>
    <t>left</t>
  </si>
  <si>
    <t>left.</t>
  </si>
  <si>
    <t>right</t>
  </si>
  <si>
    <t>symet</t>
  </si>
  <si>
    <t>symet.</t>
  </si>
  <si>
    <t>BRAKES</t>
  </si>
  <si>
    <t>OFFSET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</si>
</sst>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0;###0"/>
  </numFmts>
  <fonts count="3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544B77"/>
      <name val="Courier New"/>
      <family val="2"/>
    </font>
    <font>
      <sz val="10"/>
      <color rgb="FF334275"/>
      <name val="Courier New"/>
      <family val="2"/>
    </font>
    <font>
      <sz val="9"/>
      <color theme="1"/>
      <name val="Calibri"/>
      <family val="2"/>
      <scheme val="minor"/>
    </font>
    <font>
      <sz val="9"/>
      <color theme="1"/>
      <name val="Courier New"/>
      <family val="2"/>
    </font>
    <font>
      <b/>
      <sz val="10"/>
      <color theme="1"/>
      <name val="Arial"/>
      <family val="2"/>
    </font>
    <font>
      <sz val="9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5" tint="-0.499984740745262"/>
      <name val="Calibri"/>
      <family val="2"/>
      <scheme val="minor"/>
    </font>
    <font>
      <b/>
      <sz val="10"/>
      <color theme="5" tint="-0.499984740745262"/>
      <name val="Arial"/>
      <family val="2"/>
    </font>
    <font>
      <sz val="9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6D6789"/>
      <name val="Calibri"/>
      <family val="2"/>
      <scheme val="minor"/>
    </font>
    <font>
      <sz val="10"/>
      <color rgb="FF544B77"/>
      <name val="Calibri"/>
      <family val="2"/>
      <scheme val="minor"/>
    </font>
    <font>
      <sz val="10"/>
      <color rgb="FF5D6089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2"/>
      <name val="Arial Narrow"/>
      <family val="2"/>
    </font>
    <font>
      <sz val="8"/>
      <color rgb="FF000000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2"/>
      <color indexed="8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</patternFill>
    </fill>
  </fills>
  <borders count="1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2" fillId="0" borderId="0"/>
    <xf numFmtId="0" fontId="4" fillId="0" borderId="0"/>
    <xf numFmtId="0" fontId="22" fillId="0" borderId="0"/>
    <xf numFmtId="0" fontId="2" fillId="0" borderId="0">
      <alignment horizontal="center"/>
    </xf>
    <xf numFmtId="0" fontId="2" fillId="0" borderId="0">
      <alignment horizontal="left"/>
    </xf>
    <xf numFmtId="0" fontId="24" fillId="0" borderId="0">
      <alignment horizontal="left"/>
    </xf>
    <xf numFmtId="0" fontId="2" fillId="0" borderId="0">
      <alignment horizontal="center"/>
    </xf>
    <xf numFmtId="0" fontId="2" fillId="0" borderId="0">
      <alignment horizontal="right"/>
    </xf>
    <xf numFmtId="0" fontId="2" fillId="0" borderId="0">
      <alignment horizontal="left"/>
    </xf>
    <xf numFmtId="0" fontId="22" fillId="0" borderId="0"/>
    <xf numFmtId="0" fontId="2" fillId="0" borderId="0">
      <alignment horizontal="left"/>
    </xf>
    <xf numFmtId="0" fontId="25" fillId="0" borderId="0">
      <alignment horizontal="left"/>
    </xf>
    <xf numFmtId="0" fontId="23" fillId="0" borderId="0">
      <alignment horizontal="left"/>
    </xf>
  </cellStyleXfs>
  <cellXfs count="79">
    <xf numFmtId="0" fontId="0" fillId="0" borderId="0" xfId="0"/>
    <xf numFmtId="1" fontId="0" fillId="0" borderId="0" xfId="0" applyNumberFormat="1" applyAlignment="1">
      <alignment horizontal="center"/>
    </xf>
    <xf numFmtId="1" fontId="0" fillId="0" borderId="0" xfId="0" applyNumberFormat="1"/>
    <xf numFmtId="1" fontId="1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64" fontId="6" fillId="0" borderId="0" xfId="2" applyNumberFormat="1" applyFont="1" applyAlignment="1">
      <alignment horizontal="left" vertical="top" wrapText="1"/>
    </xf>
    <xf numFmtId="164" fontId="5" fillId="0" borderId="0" xfId="2" applyNumberFormat="1" applyFont="1" applyAlignment="1">
      <alignment horizontal="left" vertical="top" wrapText="1"/>
    </xf>
    <xf numFmtId="1" fontId="0" fillId="0" borderId="0" xfId="0" applyNumberFormat="1" applyAlignment="1">
      <alignment horizontal="center" vertical="center"/>
    </xf>
    <xf numFmtId="164" fontId="8" fillId="0" borderId="0" xfId="2" applyNumberFormat="1" applyFont="1" applyAlignment="1">
      <alignment horizontal="left" vertical="top" wrapText="1"/>
    </xf>
    <xf numFmtId="0" fontId="7" fillId="0" borderId="0" xfId="0" applyFont="1"/>
    <xf numFmtId="1" fontId="11" fillId="0" borderId="0" xfId="0" applyNumberFormat="1" applyFont="1" applyAlignment="1">
      <alignment horizontal="center" vertical="center"/>
    </xf>
    <xf numFmtId="1" fontId="11" fillId="0" borderId="3" xfId="0" applyNumberFormat="1" applyFont="1" applyBorder="1" applyAlignment="1">
      <alignment horizontal="center"/>
    </xf>
    <xf numFmtId="1" fontId="9" fillId="0" borderId="7" xfId="1" applyNumberFormat="1" applyFont="1" applyBorder="1" applyAlignment="1">
      <alignment horizontal="center"/>
    </xf>
    <xf numFmtId="1" fontId="9" fillId="0" borderId="8" xfId="1" applyNumberFormat="1" applyFont="1" applyBorder="1" applyAlignment="1">
      <alignment horizontal="center"/>
    </xf>
    <xf numFmtId="1" fontId="12" fillId="0" borderId="0" xfId="0" applyNumberFormat="1" applyFont="1" applyAlignment="1">
      <alignment horizontal="center" vertical="center"/>
    </xf>
    <xf numFmtId="0" fontId="12" fillId="0" borderId="0" xfId="0" applyFont="1"/>
    <xf numFmtId="1" fontId="15" fillId="0" borderId="0" xfId="0" applyNumberFormat="1" applyFont="1" applyAlignment="1">
      <alignment horizontal="center" vertical="center"/>
    </xf>
    <xf numFmtId="1" fontId="12" fillId="0" borderId="4" xfId="0" applyNumberFormat="1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1" xfId="0" applyNumberFormat="1" applyBorder="1"/>
    <xf numFmtId="1" fontId="0" fillId="0" borderId="2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" fontId="0" fillId="0" borderId="3" xfId="0" applyNumberFormat="1" applyBorder="1"/>
    <xf numFmtId="1" fontId="0" fillId="0" borderId="8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4" xfId="0" applyNumberFormat="1" applyBorder="1"/>
    <xf numFmtId="1" fontId="0" fillId="0" borderId="5" xfId="0" applyNumberFormat="1" applyBorder="1"/>
    <xf numFmtId="1" fontId="7" fillId="0" borderId="6" xfId="0" applyNumberFormat="1" applyFont="1" applyBorder="1" applyAlignment="1">
      <alignment horizontal="center"/>
    </xf>
    <xf numFmtId="1" fontId="14" fillId="0" borderId="1" xfId="0" applyNumberFormat="1" applyFont="1" applyBorder="1" applyAlignment="1">
      <alignment horizontal="center" vertical="center"/>
    </xf>
    <xf numFmtId="1" fontId="10" fillId="0" borderId="1" xfId="0" applyNumberFormat="1" applyFont="1" applyBorder="1" applyAlignment="1">
      <alignment horizontal="center" vertical="center"/>
    </xf>
    <xf numFmtId="1" fontId="7" fillId="0" borderId="2" xfId="0" applyNumberFormat="1" applyFont="1" applyBorder="1"/>
    <xf numFmtId="1" fontId="9" fillId="0" borderId="9" xfId="1" applyNumberFormat="1" applyFont="1" applyBorder="1" applyAlignment="1">
      <alignment horizontal="right"/>
    </xf>
    <xf numFmtId="1" fontId="13" fillId="0" borderId="10" xfId="1" applyNumberFormat="1" applyFont="1" applyBorder="1" applyAlignment="1">
      <alignment horizontal="center" vertical="center"/>
    </xf>
    <xf numFmtId="1" fontId="9" fillId="0" borderId="10" xfId="1" applyNumberFormat="1" applyFont="1" applyBorder="1" applyAlignment="1">
      <alignment horizontal="center" vertical="center"/>
    </xf>
    <xf numFmtId="1" fontId="9" fillId="0" borderId="10" xfId="1" applyNumberFormat="1" applyFont="1" applyBorder="1" applyAlignment="1">
      <alignment horizontal="right"/>
    </xf>
    <xf numFmtId="1" fontId="9" fillId="0" borderId="11" xfId="1" applyNumberFormat="1" applyFont="1" applyBorder="1" applyAlignment="1">
      <alignment horizontal="right"/>
    </xf>
    <xf numFmtId="1" fontId="0" fillId="0" borderId="9" xfId="0" applyNumberFormat="1" applyBorder="1" applyAlignment="1">
      <alignment horizontal="center"/>
    </xf>
    <xf numFmtId="1" fontId="7" fillId="0" borderId="6" xfId="0" applyNumberFormat="1" applyFont="1" applyBorder="1"/>
    <xf numFmtId="164" fontId="11" fillId="0" borderId="7" xfId="2" applyNumberFormat="1" applyFont="1" applyBorder="1" applyAlignment="1">
      <alignment horizontal="center" vertical="top" wrapText="1"/>
    </xf>
    <xf numFmtId="1" fontId="0" fillId="0" borderId="7" xfId="0" applyNumberFormat="1" applyBorder="1"/>
    <xf numFmtId="1" fontId="0" fillId="0" borderId="8" xfId="0" applyNumberFormat="1" applyBorder="1"/>
    <xf numFmtId="1" fontId="16" fillId="0" borderId="0" xfId="0" applyNumberFormat="1" applyFont="1" applyAlignment="1">
      <alignment horizontal="center" vertical="center"/>
    </xf>
    <xf numFmtId="1" fontId="12" fillId="0" borderId="0" xfId="0" applyNumberFormat="1" applyFont="1"/>
    <xf numFmtId="1" fontId="9" fillId="0" borderId="0" xfId="1" applyNumberFormat="1" applyFont="1" applyAlignment="1">
      <alignment horizontal="center"/>
    </xf>
    <xf numFmtId="1" fontId="1" fillId="0" borderId="12" xfId="0" applyNumberFormat="1" applyFont="1" applyBorder="1" applyAlignment="1">
      <alignment horizontal="center" vertical="center"/>
    </xf>
    <xf numFmtId="1" fontId="0" fillId="0" borderId="0" xfId="0" applyNumberFormat="1" applyAlignment="1">
      <alignment horizontal="left"/>
    </xf>
    <xf numFmtId="164" fontId="18" fillId="0" borderId="0" xfId="2" applyNumberFormat="1" applyFont="1" applyAlignment="1">
      <alignment horizontal="left" vertical="top" wrapText="1"/>
    </xf>
    <xf numFmtId="164" fontId="7" fillId="0" borderId="0" xfId="2" applyNumberFormat="1" applyFont="1" applyAlignment="1">
      <alignment horizontal="left" vertical="top" wrapText="1"/>
    </xf>
    <xf numFmtId="164" fontId="19" fillId="0" borderId="0" xfId="2" applyNumberFormat="1" applyFont="1" applyAlignment="1">
      <alignment horizontal="left" vertical="top" wrapText="1"/>
    </xf>
    <xf numFmtId="164" fontId="20" fillId="0" borderId="0" xfId="2" applyNumberFormat="1" applyFont="1" applyAlignment="1">
      <alignment horizontal="left" vertical="top" wrapText="1"/>
    </xf>
    <xf numFmtId="0" fontId="21" fillId="0" borderId="0" xfId="2" applyFont="1" applyAlignment="1">
      <alignment horizontal="left" vertical="top" wrapText="1"/>
    </xf>
    <xf numFmtId="164" fontId="17" fillId="0" borderId="0" xfId="2" applyNumberFormat="1" applyFont="1" applyAlignment="1">
      <alignment horizontal="center" vertical="top" wrapText="1"/>
    </xf>
    <xf numFmtId="1" fontId="11" fillId="0" borderId="7" xfId="0" applyNumberFormat="1" applyFont="1" applyBorder="1" applyAlignment="1">
      <alignment horizontal="center"/>
    </xf>
    <xf numFmtId="1" fontId="26" fillId="0" borderId="6" xfId="0" applyNumberFormat="1" applyFont="1" applyBorder="1"/>
    <xf numFmtId="164" fontId="27" fillId="0" borderId="7" xfId="2" applyNumberFormat="1" applyFont="1" applyBorder="1" applyAlignment="1">
      <alignment horizontal="center" vertical="top" wrapText="1"/>
    </xf>
    <xf numFmtId="0" fontId="28" fillId="0" borderId="0" xfId="0" applyFont="1"/>
    <xf numFmtId="0" fontId="29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1" fontId="9" fillId="0" borderId="9" xfId="1" applyNumberFormat="1" applyFont="1" applyBorder="1"/>
    <xf numFmtId="1" fontId="15" fillId="0" borderId="4" xfId="0" applyNumberFormat="1" applyFont="1" applyBorder="1" applyAlignment="1">
      <alignment horizontal="center" vertical="center"/>
    </xf>
    <xf numFmtId="1" fontId="11" fillId="0" borderId="4" xfId="0" applyNumberFormat="1" applyFont="1" applyBorder="1" applyAlignment="1">
      <alignment horizontal="center" vertical="center"/>
    </xf>
    <xf numFmtId="1" fontId="11" fillId="0" borderId="5" xfId="0" applyNumberFormat="1" applyFont="1" applyBorder="1" applyAlignment="1">
      <alignment horizontal="center"/>
    </xf>
    <xf numFmtId="164" fontId="27" fillId="0" borderId="7" xfId="2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/>
    </xf>
    <xf numFmtId="1" fontId="17" fillId="0" borderId="7" xfId="0" applyNumberFormat="1" applyFont="1" applyBorder="1" applyAlignment="1">
      <alignment horizontal="center"/>
    </xf>
    <xf numFmtId="1" fontId="17" fillId="0" borderId="8" xfId="0" applyNumberFormat="1" applyFont="1" applyBorder="1" applyAlignment="1">
      <alignment horizontal="center"/>
    </xf>
    <xf numFmtId="1" fontId="30" fillId="2" borderId="0" xfId="0" applyNumberFormat="1" applyFont="1" applyFill="1" applyAlignment="1">
      <alignment horizontal="center" vertical="center"/>
    </xf>
    <xf numFmtId="1" fontId="30" fillId="2" borderId="0" xfId="0" applyNumberFormat="1" applyFont="1" applyFill="1" applyAlignment="1">
      <alignment horizontal="center"/>
    </xf>
    <xf numFmtId="164" fontId="30" fillId="2" borderId="0" xfId="2" applyNumberFormat="1" applyFont="1" applyFill="1" applyAlignment="1">
      <alignment horizontal="center" vertical="top" wrapText="1"/>
    </xf>
    <xf numFmtId="0" fontId="30" fillId="2" borderId="0" xfId="2" applyFont="1" applyFill="1" applyAlignment="1">
      <alignment horizontal="center" vertical="top" wrapText="1"/>
    </xf>
    <xf numFmtId="0" fontId="31" fillId="3" borderId="12" xfId="0" applyFont="1" applyFill="1" applyBorder="1" applyAlignment="1">
      <alignment horizontal="center" vertical="center"/>
    </xf>
    <xf numFmtId="1" fontId="32" fillId="2" borderId="0" xfId="0" applyNumberFormat="1" applyFont="1" applyFill="1" applyAlignment="1" applyProtection="1">
      <alignment horizontal="center" vertical="center"/>
      <protection locked="0"/>
    </xf>
    <xf numFmtId="1" fontId="28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</cellXfs>
  <cellStyles count="14">
    <cellStyle name="Center" xfId="4" xr:uid="{00000000-0005-0000-0000-000000000000}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Material" xfId="9" xr:uid="{00000000-0005-0000-0000-000006000000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Proto" xfId="11" xr:uid="{00000000-0005-0000-0000-00000B000000}"/>
    <cellStyle name="Remark" xfId="12" xr:uid="{00000000-0005-0000-0000-00000C000000}"/>
    <cellStyle name="Title" xfId="13" xr:uid="{00000000-0005-0000-0000-00000D000000}"/>
  </cellStyles>
  <dxfs count="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7</xdr:row>
      <xdr:rowOff>19050</xdr:rowOff>
    </xdr:from>
    <xdr:to>
      <xdr:col>25</xdr:col>
      <xdr:colOff>0</xdr:colOff>
      <xdr:row>7</xdr:row>
      <xdr:rowOff>28575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V="1">
          <a:off x="361950" y="1371600"/>
          <a:ext cx="9296400" cy="9525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10</xdr:row>
      <xdr:rowOff>184925</xdr:rowOff>
    </xdr:from>
    <xdr:to>
      <xdr:col>19</xdr:col>
      <xdr:colOff>0</xdr:colOff>
      <xdr:row>11</xdr:row>
      <xdr:rowOff>1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V="1">
          <a:off x="371475" y="2128025"/>
          <a:ext cx="6962775" cy="5576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R157"/>
  <sheetViews>
    <sheetView tabSelected="1" topLeftCell="A2" zoomScaleNormal="100" workbookViewId="0">
      <selection activeCell="S29" sqref="S29"/>
    </sheetView>
  </sheetViews>
  <sheetFormatPr defaultRowHeight="15" x14ac:dyDescent="0.25"/>
  <cols>
    <col min="1" max="1" width="5.5703125" customWidth="1"/>
    <col min="2" max="2" width="7" customWidth="1"/>
    <col min="3" max="3" width="5.5703125" style="15" customWidth="1"/>
    <col min="4" max="4" width="5.5703125" customWidth="1"/>
    <col min="5" max="5" width="5.5703125" style="15" customWidth="1"/>
    <col min="6" max="7" width="5.5703125" customWidth="1"/>
    <col min="8" max="8" width="6.85546875" customWidth="1"/>
    <col min="9" max="9" width="5.5703125" style="15" customWidth="1"/>
    <col min="10" max="10" width="5.5703125" customWidth="1"/>
    <col min="11" max="11" width="5.5703125" style="15" customWidth="1"/>
    <col min="12" max="13" width="5.5703125" customWidth="1"/>
    <col min="14" max="14" width="7" customWidth="1"/>
    <col min="15" max="15" width="5.5703125" style="15" customWidth="1"/>
    <col min="16" max="16" width="5.5703125" customWidth="1"/>
    <col min="17" max="17" width="5.5703125" style="15" customWidth="1"/>
    <col min="18" max="19" width="5.5703125" customWidth="1"/>
    <col min="20" max="20" width="7" customWidth="1"/>
    <col min="21" max="21" width="5.5703125" style="15" customWidth="1"/>
    <col min="22" max="22" width="5.5703125" customWidth="1"/>
    <col min="23" max="23" width="5.5703125" style="15" customWidth="1"/>
    <col min="24" max="32" width="5.5703125" customWidth="1"/>
    <col min="33" max="33" width="2.140625" customWidth="1"/>
    <col min="34" max="37" width="7.42578125" customWidth="1"/>
  </cols>
  <sheetData>
    <row r="1" spans="1:44" ht="15.75" thickBot="1" x14ac:dyDescent="0.3">
      <c r="A1" s="1"/>
      <c r="B1" s="2"/>
      <c r="C1" s="14"/>
      <c r="D1" s="4"/>
      <c r="E1" s="14"/>
      <c r="F1" s="4"/>
      <c r="G1" s="3"/>
      <c r="H1" s="2"/>
      <c r="I1" s="14"/>
      <c r="J1" s="4"/>
      <c r="K1" s="14"/>
      <c r="L1" s="4"/>
      <c r="M1" s="3"/>
      <c r="N1" s="2"/>
      <c r="O1" s="14"/>
      <c r="P1" s="4"/>
      <c r="Q1" s="14"/>
      <c r="R1" s="4"/>
      <c r="S1" s="3"/>
      <c r="T1" s="2"/>
      <c r="U1" s="14"/>
      <c r="V1" s="4"/>
      <c r="W1" s="14"/>
      <c r="X1" s="4"/>
      <c r="Y1" s="3"/>
      <c r="Z1" s="3"/>
      <c r="AA1" s="3"/>
      <c r="AB1" s="3"/>
      <c r="AC1" s="3"/>
      <c r="AD1" s="3"/>
      <c r="AE1" s="3"/>
      <c r="AF1" s="3"/>
      <c r="AG1" s="2"/>
      <c r="AH1" s="2"/>
      <c r="AI1" s="2"/>
      <c r="AJ1" s="2"/>
      <c r="AK1" s="2"/>
      <c r="AL1" s="2"/>
    </row>
    <row r="2" spans="1:44" ht="15.75" thickBot="1" x14ac:dyDescent="0.3">
      <c r="A2" s="39"/>
      <c r="B2" s="34" t="s">
        <v>0</v>
      </c>
      <c r="C2" s="35"/>
      <c r="D2" s="36"/>
      <c r="E2" s="35"/>
      <c r="F2" s="36"/>
      <c r="G2" s="38"/>
      <c r="H2" s="34" t="s">
        <v>1</v>
      </c>
      <c r="I2" s="35"/>
      <c r="J2" s="36"/>
      <c r="K2" s="35"/>
      <c r="L2" s="36"/>
      <c r="M2" s="38"/>
      <c r="N2" s="37" t="s">
        <v>2</v>
      </c>
      <c r="O2" s="35"/>
      <c r="P2" s="36"/>
      <c r="Q2" s="35"/>
      <c r="R2" s="36"/>
      <c r="S2" s="38"/>
      <c r="T2" s="37" t="s">
        <v>3</v>
      </c>
      <c r="U2" s="35"/>
      <c r="V2" s="36"/>
      <c r="W2" s="35"/>
      <c r="X2" s="36"/>
      <c r="Y2" s="38"/>
      <c r="Z2" s="61" t="s">
        <v>17</v>
      </c>
      <c r="AA2" s="35"/>
      <c r="AB2" s="36"/>
      <c r="AC2" s="35"/>
      <c r="AD2" s="36"/>
      <c r="AE2" s="38"/>
      <c r="AG2" s="2"/>
      <c r="AH2" s="54" t="s">
        <v>0</v>
      </c>
      <c r="AI2" s="54" t="s">
        <v>1</v>
      </c>
      <c r="AJ2" s="54" t="s">
        <v>2</v>
      </c>
      <c r="AK2" s="54" t="s">
        <v>3</v>
      </c>
      <c r="AL2" s="49"/>
    </row>
    <row r="3" spans="1:44" s="9" customFormat="1" ht="12" x14ac:dyDescent="0.2">
      <c r="A3" s="30"/>
      <c r="B3" s="56" t="s">
        <v>9</v>
      </c>
      <c r="C3" s="31" t="s">
        <v>10</v>
      </c>
      <c r="D3" s="32" t="s">
        <v>11</v>
      </c>
      <c r="E3" s="31" t="s">
        <v>12</v>
      </c>
      <c r="F3" s="32" t="s">
        <v>14</v>
      </c>
      <c r="G3" s="33" t="s">
        <v>15</v>
      </c>
      <c r="H3" s="56" t="s">
        <v>9</v>
      </c>
      <c r="I3" s="31" t="s">
        <v>10</v>
      </c>
      <c r="J3" s="32" t="s">
        <v>11</v>
      </c>
      <c r="K3" s="31" t="s">
        <v>12</v>
      </c>
      <c r="L3" s="32" t="s">
        <v>14</v>
      </c>
      <c r="M3" s="33" t="s">
        <v>16</v>
      </c>
      <c r="N3" s="56" t="s">
        <v>9</v>
      </c>
      <c r="O3" s="31" t="s">
        <v>10</v>
      </c>
      <c r="P3" s="32" t="s">
        <v>11</v>
      </c>
      <c r="Q3" s="31" t="s">
        <v>12</v>
      </c>
      <c r="R3" s="32" t="s">
        <v>4</v>
      </c>
      <c r="S3" s="33" t="s">
        <v>15</v>
      </c>
      <c r="T3" s="40" t="s">
        <v>9</v>
      </c>
      <c r="U3" s="31" t="s">
        <v>10</v>
      </c>
      <c r="V3" s="32" t="s">
        <v>11</v>
      </c>
      <c r="W3" s="31" t="s">
        <v>13</v>
      </c>
      <c r="X3" s="32" t="s">
        <v>14</v>
      </c>
      <c r="Y3" s="33" t="s">
        <v>15</v>
      </c>
      <c r="Z3" s="40" t="s">
        <v>9</v>
      </c>
      <c r="AA3" s="31" t="s">
        <v>10</v>
      </c>
      <c r="AB3" s="32" t="s">
        <v>11</v>
      </c>
      <c r="AC3" s="31" t="s">
        <v>13</v>
      </c>
      <c r="AD3" s="32" t="s">
        <v>14</v>
      </c>
      <c r="AE3" s="33" t="s">
        <v>15</v>
      </c>
      <c r="AG3" s="8"/>
      <c r="AH3" s="50"/>
      <c r="AI3" s="50"/>
      <c r="AJ3" s="50"/>
      <c r="AK3" s="50"/>
      <c r="AL3" s="50"/>
    </row>
    <row r="4" spans="1:44" x14ac:dyDescent="0.25">
      <c r="A4" s="12">
        <v>1</v>
      </c>
      <c r="B4" s="57">
        <f>AH4+$M$24</f>
        <v>7467</v>
      </c>
      <c r="C4" s="73"/>
      <c r="D4" s="73"/>
      <c r="E4" s="14">
        <f>C4-B4</f>
        <v>-7467</v>
      </c>
      <c r="F4" s="4">
        <f>D4-B4</f>
        <v>-7467</v>
      </c>
      <c r="G4" s="11">
        <f>C4-D4</f>
        <v>0</v>
      </c>
      <c r="H4" s="57">
        <f>AI4+$M$24</f>
        <v>7354.25</v>
      </c>
      <c r="I4" s="73"/>
      <c r="J4" s="73"/>
      <c r="K4" s="14">
        <f>I4-H4</f>
        <v>-7354.25</v>
      </c>
      <c r="L4" s="4">
        <f>J4-H4</f>
        <v>-7354.25</v>
      </c>
      <c r="M4" s="11">
        <f t="shared" ref="M4:M18" si="0">I4-J4</f>
        <v>0</v>
      </c>
      <c r="N4" s="57">
        <f>AJ4+$M$24</f>
        <v>7424.5</v>
      </c>
      <c r="O4" s="73"/>
      <c r="P4" s="73"/>
      <c r="Q4" s="14">
        <f>O4-N4</f>
        <v>-7424.5</v>
      </c>
      <c r="R4" s="4">
        <f>P4-N4</f>
        <v>-7424.5</v>
      </c>
      <c r="S4" s="11">
        <f>O4-P4</f>
        <v>0</v>
      </c>
      <c r="T4" s="66">
        <v>7562</v>
      </c>
      <c r="U4" s="73"/>
      <c r="V4" s="73"/>
      <c r="W4" s="14">
        <f>U4-T4</f>
        <v>-7562</v>
      </c>
      <c r="X4" s="4">
        <f>V4-T4</f>
        <v>-7562</v>
      </c>
      <c r="Y4" s="11">
        <f>U4-V4</f>
        <v>0</v>
      </c>
      <c r="Z4" s="67">
        <v>7988.5</v>
      </c>
      <c r="AA4" s="73"/>
      <c r="AB4" s="73"/>
      <c r="AC4" s="14">
        <f>AA4-Z4</f>
        <v>-7988.5</v>
      </c>
      <c r="AD4" s="4">
        <f>AB4-Z4</f>
        <v>-7988.5</v>
      </c>
      <c r="AE4" s="11">
        <f>AA4-AB4</f>
        <v>0</v>
      </c>
      <c r="AG4" s="6"/>
      <c r="AH4" s="70">
        <v>7467</v>
      </c>
      <c r="AI4" s="69">
        <v>7354.25</v>
      </c>
      <c r="AJ4" s="69">
        <v>7424.5</v>
      </c>
      <c r="AK4" s="70">
        <v>7562</v>
      </c>
      <c r="AL4" s="51"/>
    </row>
    <row r="5" spans="1:44" x14ac:dyDescent="0.25">
      <c r="A5" s="12">
        <v>2</v>
      </c>
      <c r="B5" s="57">
        <f t="shared" ref="B5:B18" si="1">AH5+$M$24</f>
        <v>7420.5</v>
      </c>
      <c r="C5" s="73"/>
      <c r="D5" s="73"/>
      <c r="E5" s="14">
        <f t="shared" ref="E5:E18" si="2">C5-B5</f>
        <v>-7420.5</v>
      </c>
      <c r="F5" s="4">
        <f t="shared" ref="F5:F18" si="3">D5-B5</f>
        <v>-7420.5</v>
      </c>
      <c r="G5" s="11">
        <f t="shared" ref="G5:G18" si="4">C5-D5</f>
        <v>0</v>
      </c>
      <c r="H5" s="57">
        <f t="shared" ref="H5:H18" si="5">AI5+$M$24</f>
        <v>7309.25</v>
      </c>
      <c r="I5" s="73"/>
      <c r="J5" s="73"/>
      <c r="K5" s="14">
        <f t="shared" ref="K5:K18" si="6">I5-H5</f>
        <v>-7309.25</v>
      </c>
      <c r="L5" s="4">
        <f t="shared" ref="L5:L18" si="7">J5-H5</f>
        <v>-7309.25</v>
      </c>
      <c r="M5" s="11">
        <f t="shared" si="0"/>
        <v>0</v>
      </c>
      <c r="N5" s="57">
        <f t="shared" ref="N5:N18" si="8">AJ5+$M$24</f>
        <v>7379</v>
      </c>
      <c r="O5" s="73"/>
      <c r="P5" s="73"/>
      <c r="Q5" s="14">
        <f t="shared" ref="Q5:Q18" si="9">O5-N5</f>
        <v>-7379</v>
      </c>
      <c r="R5" s="4">
        <f t="shared" ref="R5:R18" si="10">P5-N5</f>
        <v>-7379</v>
      </c>
      <c r="S5" s="11">
        <f t="shared" ref="S5:S18" si="11">O5-P5</f>
        <v>0</v>
      </c>
      <c r="T5" s="66">
        <v>7521</v>
      </c>
      <c r="U5" s="73"/>
      <c r="V5" s="73"/>
      <c r="W5" s="14">
        <f t="shared" ref="W5:W11" si="12">U5-T5</f>
        <v>-7521</v>
      </c>
      <c r="X5" s="4">
        <f t="shared" ref="X5:X11" si="13">V5-T5</f>
        <v>-7521</v>
      </c>
      <c r="Y5" s="11">
        <f t="shared" ref="Y5:Y11" si="14">U5-V5</f>
        <v>0</v>
      </c>
      <c r="Z5" s="67">
        <v>7734</v>
      </c>
      <c r="AA5" s="73"/>
      <c r="AB5" s="73"/>
      <c r="AC5" s="14">
        <f t="shared" ref="AC5:AC14" si="15">AA5-Z5</f>
        <v>-7734</v>
      </c>
      <c r="AD5" s="4">
        <f t="shared" ref="AD5:AD14" si="16">AB5-Z5</f>
        <v>-7734</v>
      </c>
      <c r="AE5" s="11">
        <f t="shared" ref="AE5:AE14" si="17">AA5-AB5</f>
        <v>0</v>
      </c>
      <c r="AG5" s="6"/>
      <c r="AH5" s="70">
        <v>7420.5</v>
      </c>
      <c r="AI5" s="69">
        <v>7309.25</v>
      </c>
      <c r="AJ5" s="69">
        <v>7379</v>
      </c>
      <c r="AK5" s="70">
        <v>7521</v>
      </c>
      <c r="AL5" s="51"/>
    </row>
    <row r="6" spans="1:44" x14ac:dyDescent="0.25">
      <c r="A6" s="12">
        <v>3</v>
      </c>
      <c r="B6" s="57">
        <f t="shared" si="1"/>
        <v>7396</v>
      </c>
      <c r="C6" s="73"/>
      <c r="D6" s="73"/>
      <c r="E6" s="14">
        <f t="shared" si="2"/>
        <v>-7396</v>
      </c>
      <c r="F6" s="4">
        <f t="shared" si="3"/>
        <v>-7396</v>
      </c>
      <c r="G6" s="11">
        <f t="shared" si="4"/>
        <v>0</v>
      </c>
      <c r="H6" s="57">
        <f t="shared" si="5"/>
        <v>7289</v>
      </c>
      <c r="I6" s="73"/>
      <c r="J6" s="73"/>
      <c r="K6" s="14">
        <f t="shared" si="6"/>
        <v>-7289</v>
      </c>
      <c r="L6" s="4">
        <f t="shared" si="7"/>
        <v>-7289</v>
      </c>
      <c r="M6" s="11">
        <f t="shared" si="0"/>
        <v>0</v>
      </c>
      <c r="N6" s="57">
        <f t="shared" si="8"/>
        <v>7360</v>
      </c>
      <c r="O6" s="73"/>
      <c r="P6" s="73"/>
      <c r="Q6" s="14">
        <f t="shared" si="9"/>
        <v>-7360</v>
      </c>
      <c r="R6" s="4">
        <f t="shared" si="10"/>
        <v>-7360</v>
      </c>
      <c r="S6" s="11">
        <f t="shared" si="11"/>
        <v>0</v>
      </c>
      <c r="T6" s="66">
        <v>7498</v>
      </c>
      <c r="U6" s="73"/>
      <c r="V6" s="73"/>
      <c r="W6" s="14">
        <f t="shared" si="12"/>
        <v>-7498</v>
      </c>
      <c r="X6" s="4">
        <f t="shared" si="13"/>
        <v>-7498</v>
      </c>
      <c r="Y6" s="11">
        <f t="shared" si="14"/>
        <v>0</v>
      </c>
      <c r="Z6" s="67">
        <v>7570.5</v>
      </c>
      <c r="AA6" s="73"/>
      <c r="AB6" s="73"/>
      <c r="AC6" s="14">
        <f t="shared" si="15"/>
        <v>-7570.5</v>
      </c>
      <c r="AD6" s="4">
        <f t="shared" si="16"/>
        <v>-7570.5</v>
      </c>
      <c r="AE6" s="11">
        <f t="shared" si="17"/>
        <v>0</v>
      </c>
      <c r="AF6" s="59"/>
      <c r="AG6" s="6"/>
      <c r="AH6" s="70">
        <v>7396</v>
      </c>
      <c r="AI6" s="69">
        <v>7289</v>
      </c>
      <c r="AJ6" s="69">
        <v>7360</v>
      </c>
      <c r="AK6" s="70">
        <v>7498</v>
      </c>
      <c r="AL6" s="52"/>
      <c r="AN6" s="59"/>
      <c r="AO6" s="60"/>
    </row>
    <row r="7" spans="1:44" x14ac:dyDescent="0.25">
      <c r="A7" s="12">
        <v>4</v>
      </c>
      <c r="B7" s="57">
        <f t="shared" si="1"/>
        <v>7409.5</v>
      </c>
      <c r="C7" s="73"/>
      <c r="D7" s="73"/>
      <c r="E7" s="14">
        <f t="shared" si="2"/>
        <v>-7409.5</v>
      </c>
      <c r="F7" s="4">
        <f t="shared" si="3"/>
        <v>-7409.5</v>
      </c>
      <c r="G7" s="11">
        <f t="shared" si="4"/>
        <v>0</v>
      </c>
      <c r="H7" s="57">
        <f t="shared" si="5"/>
        <v>7310</v>
      </c>
      <c r="I7" s="73"/>
      <c r="J7" s="73"/>
      <c r="K7" s="14">
        <f t="shared" si="6"/>
        <v>-7310</v>
      </c>
      <c r="L7" s="4">
        <f t="shared" si="7"/>
        <v>-7310</v>
      </c>
      <c r="M7" s="11">
        <f t="shared" si="0"/>
        <v>0</v>
      </c>
      <c r="N7" s="57">
        <f t="shared" si="8"/>
        <v>7373.5</v>
      </c>
      <c r="O7" s="73"/>
      <c r="P7" s="73"/>
      <c r="Q7" s="14">
        <f t="shared" si="9"/>
        <v>-7373.5</v>
      </c>
      <c r="R7" s="4">
        <f t="shared" si="10"/>
        <v>-7373.5</v>
      </c>
      <c r="S7" s="11">
        <f t="shared" si="11"/>
        <v>0</v>
      </c>
      <c r="T7" s="66">
        <v>7508</v>
      </c>
      <c r="U7" s="73"/>
      <c r="V7" s="73"/>
      <c r="W7" s="14">
        <f t="shared" si="12"/>
        <v>-7508</v>
      </c>
      <c r="X7" s="4">
        <f t="shared" si="13"/>
        <v>-7508</v>
      </c>
      <c r="Y7" s="11">
        <f t="shared" si="14"/>
        <v>0</v>
      </c>
      <c r="Z7" s="67">
        <v>7447</v>
      </c>
      <c r="AA7" s="73"/>
      <c r="AB7" s="73"/>
      <c r="AC7" s="14">
        <f t="shared" si="15"/>
        <v>-7447</v>
      </c>
      <c r="AD7" s="4">
        <f t="shared" si="16"/>
        <v>-7447</v>
      </c>
      <c r="AE7" s="11">
        <f t="shared" si="17"/>
        <v>0</v>
      </c>
      <c r="AF7" s="59"/>
      <c r="AG7" s="6"/>
      <c r="AH7" s="70">
        <v>7409.5</v>
      </c>
      <c r="AI7" s="69">
        <v>7310</v>
      </c>
      <c r="AJ7" s="69">
        <v>7373.5</v>
      </c>
      <c r="AK7" s="70">
        <v>7508</v>
      </c>
      <c r="AL7" s="52"/>
      <c r="AN7" s="59"/>
      <c r="AO7" s="60"/>
    </row>
    <row r="8" spans="1:44" x14ac:dyDescent="0.25">
      <c r="A8" s="12">
        <v>5</v>
      </c>
      <c r="B8" s="57">
        <f t="shared" si="1"/>
        <v>7380</v>
      </c>
      <c r="C8" s="73"/>
      <c r="D8" s="73"/>
      <c r="E8" s="14">
        <f t="shared" si="2"/>
        <v>-7380</v>
      </c>
      <c r="F8" s="4">
        <f t="shared" si="3"/>
        <v>-7380</v>
      </c>
      <c r="G8" s="11">
        <f t="shared" si="4"/>
        <v>0</v>
      </c>
      <c r="H8" s="57">
        <f t="shared" si="5"/>
        <v>7284</v>
      </c>
      <c r="I8" s="73"/>
      <c r="J8" s="73"/>
      <c r="K8" s="14">
        <f t="shared" si="6"/>
        <v>-7284</v>
      </c>
      <c r="L8" s="4">
        <f t="shared" si="7"/>
        <v>-7284</v>
      </c>
      <c r="M8" s="11">
        <f t="shared" si="0"/>
        <v>0</v>
      </c>
      <c r="N8" s="57">
        <f t="shared" si="8"/>
        <v>7358</v>
      </c>
      <c r="O8" s="73"/>
      <c r="P8" s="73"/>
      <c r="Q8" s="14">
        <f t="shared" si="9"/>
        <v>-7358</v>
      </c>
      <c r="R8" s="4">
        <f t="shared" si="10"/>
        <v>-7358</v>
      </c>
      <c r="S8" s="11">
        <f t="shared" si="11"/>
        <v>0</v>
      </c>
      <c r="T8" s="65">
        <v>7489.5</v>
      </c>
      <c r="U8" s="73"/>
      <c r="V8" s="73"/>
      <c r="W8" s="14">
        <f t="shared" si="12"/>
        <v>-7489.5</v>
      </c>
      <c r="X8" s="4">
        <f t="shared" si="13"/>
        <v>-7489.5</v>
      </c>
      <c r="Y8" s="11">
        <f t="shared" si="14"/>
        <v>0</v>
      </c>
      <c r="Z8" s="67">
        <v>7553</v>
      </c>
      <c r="AA8" s="73"/>
      <c r="AB8" s="73"/>
      <c r="AC8" s="14">
        <f t="shared" si="15"/>
        <v>-7553</v>
      </c>
      <c r="AD8" s="4">
        <f t="shared" si="16"/>
        <v>-7553</v>
      </c>
      <c r="AE8" s="11">
        <f t="shared" si="17"/>
        <v>0</v>
      </c>
      <c r="AF8" s="59"/>
      <c r="AG8" s="6"/>
      <c r="AH8" s="70">
        <v>7380</v>
      </c>
      <c r="AI8" s="69">
        <v>7284</v>
      </c>
      <c r="AJ8" s="69">
        <v>7358</v>
      </c>
      <c r="AK8" s="71">
        <v>7489.5</v>
      </c>
      <c r="AL8" s="52"/>
      <c r="AN8" s="59"/>
      <c r="AO8" s="60"/>
    </row>
    <row r="9" spans="1:44" x14ac:dyDescent="0.25">
      <c r="A9" s="12">
        <v>6</v>
      </c>
      <c r="B9" s="57">
        <f t="shared" si="1"/>
        <v>7363.5</v>
      </c>
      <c r="C9" s="73"/>
      <c r="D9" s="73"/>
      <c r="E9" s="14">
        <f t="shared" si="2"/>
        <v>-7363.5</v>
      </c>
      <c r="F9" s="4">
        <f t="shared" si="3"/>
        <v>-7363.5</v>
      </c>
      <c r="G9" s="11">
        <f t="shared" si="4"/>
        <v>0</v>
      </c>
      <c r="H9" s="57">
        <f t="shared" si="5"/>
        <v>7267.5</v>
      </c>
      <c r="I9" s="73"/>
      <c r="J9" s="73"/>
      <c r="K9" s="14">
        <f t="shared" si="6"/>
        <v>-7267.5</v>
      </c>
      <c r="L9" s="4">
        <f t="shared" si="7"/>
        <v>-7267.5</v>
      </c>
      <c r="M9" s="11">
        <f t="shared" si="0"/>
        <v>0</v>
      </c>
      <c r="N9" s="57">
        <f t="shared" si="8"/>
        <v>7341</v>
      </c>
      <c r="O9" s="73"/>
      <c r="P9" s="73"/>
      <c r="Q9" s="14">
        <f t="shared" si="9"/>
        <v>-7341</v>
      </c>
      <c r="R9" s="4">
        <f t="shared" si="10"/>
        <v>-7341</v>
      </c>
      <c r="S9" s="11">
        <f t="shared" si="11"/>
        <v>0</v>
      </c>
      <c r="T9" s="65">
        <v>7469</v>
      </c>
      <c r="U9" s="73"/>
      <c r="V9" s="73"/>
      <c r="W9" s="14">
        <f t="shared" si="12"/>
        <v>-7469</v>
      </c>
      <c r="X9" s="4">
        <f t="shared" si="13"/>
        <v>-7469</v>
      </c>
      <c r="Y9" s="11">
        <f t="shared" si="14"/>
        <v>0</v>
      </c>
      <c r="Z9" s="67">
        <v>7290</v>
      </c>
      <c r="AA9" s="73"/>
      <c r="AB9" s="73"/>
      <c r="AC9" s="14">
        <f t="shared" si="15"/>
        <v>-7290</v>
      </c>
      <c r="AD9" s="4">
        <f t="shared" si="16"/>
        <v>-7290</v>
      </c>
      <c r="AE9" s="11">
        <f t="shared" si="17"/>
        <v>0</v>
      </c>
      <c r="AF9" s="59"/>
      <c r="AG9" s="6"/>
      <c r="AH9" s="70">
        <v>7363.5</v>
      </c>
      <c r="AI9" s="69">
        <v>7267.5</v>
      </c>
      <c r="AJ9" s="69">
        <v>7341</v>
      </c>
      <c r="AK9" s="71">
        <v>7469</v>
      </c>
      <c r="AL9" s="52"/>
      <c r="AN9" s="59"/>
      <c r="AO9" s="60"/>
    </row>
    <row r="10" spans="1:44" x14ac:dyDescent="0.25">
      <c r="A10" s="12">
        <v>7</v>
      </c>
      <c r="B10" s="57">
        <f t="shared" si="1"/>
        <v>7343</v>
      </c>
      <c r="C10" s="73"/>
      <c r="D10" s="73"/>
      <c r="E10" s="14">
        <f t="shared" si="2"/>
        <v>-7343</v>
      </c>
      <c r="F10" s="4">
        <f t="shared" si="3"/>
        <v>-7343</v>
      </c>
      <c r="G10" s="11">
        <f t="shared" si="4"/>
        <v>0</v>
      </c>
      <c r="H10" s="57">
        <f t="shared" si="5"/>
        <v>7259.75</v>
      </c>
      <c r="I10" s="73"/>
      <c r="J10" s="73"/>
      <c r="K10" s="14">
        <f t="shared" si="6"/>
        <v>-7259.75</v>
      </c>
      <c r="L10" s="4">
        <f t="shared" si="7"/>
        <v>-7259.75</v>
      </c>
      <c r="M10" s="11">
        <f t="shared" si="0"/>
        <v>0</v>
      </c>
      <c r="N10" s="57">
        <f t="shared" si="8"/>
        <v>7321.5</v>
      </c>
      <c r="O10" s="73"/>
      <c r="P10" s="73"/>
      <c r="Q10" s="14">
        <f t="shared" si="9"/>
        <v>-7321.5</v>
      </c>
      <c r="R10" s="4">
        <f t="shared" si="10"/>
        <v>-7321.5</v>
      </c>
      <c r="S10" s="11">
        <f t="shared" si="11"/>
        <v>0</v>
      </c>
      <c r="T10" s="65">
        <v>7459</v>
      </c>
      <c r="U10" s="73"/>
      <c r="V10" s="73"/>
      <c r="W10" s="14">
        <f t="shared" si="12"/>
        <v>-7459</v>
      </c>
      <c r="X10" s="4">
        <f t="shared" si="13"/>
        <v>-7459</v>
      </c>
      <c r="Y10" s="11">
        <f t="shared" si="14"/>
        <v>0</v>
      </c>
      <c r="Z10" s="67">
        <v>7111</v>
      </c>
      <c r="AA10" s="73"/>
      <c r="AB10" s="73"/>
      <c r="AC10" s="14">
        <f t="shared" si="15"/>
        <v>-7111</v>
      </c>
      <c r="AD10" s="4">
        <f t="shared" si="16"/>
        <v>-7111</v>
      </c>
      <c r="AE10" s="11">
        <f t="shared" si="17"/>
        <v>0</v>
      </c>
      <c r="AF10" s="59"/>
      <c r="AG10" s="6"/>
      <c r="AH10" s="70">
        <v>7343</v>
      </c>
      <c r="AI10" s="69">
        <v>7259.75</v>
      </c>
      <c r="AJ10" s="69">
        <v>7321.5</v>
      </c>
      <c r="AK10" s="71">
        <v>7459</v>
      </c>
      <c r="AL10" s="52"/>
      <c r="AN10" s="59"/>
      <c r="AO10" s="60"/>
    </row>
    <row r="11" spans="1:44" x14ac:dyDescent="0.25">
      <c r="A11" s="12">
        <v>8</v>
      </c>
      <c r="B11" s="57">
        <f t="shared" si="1"/>
        <v>7353</v>
      </c>
      <c r="C11" s="73"/>
      <c r="D11" s="73"/>
      <c r="E11" s="14">
        <f t="shared" si="2"/>
        <v>-7353</v>
      </c>
      <c r="F11" s="4">
        <f t="shared" si="3"/>
        <v>-7353</v>
      </c>
      <c r="G11" s="11">
        <f t="shared" si="4"/>
        <v>0</v>
      </c>
      <c r="H11" s="57">
        <f t="shared" si="5"/>
        <v>7271.25</v>
      </c>
      <c r="I11" s="73"/>
      <c r="J11" s="73"/>
      <c r="K11" s="14">
        <f t="shared" si="6"/>
        <v>-7271.25</v>
      </c>
      <c r="L11" s="4">
        <f t="shared" si="7"/>
        <v>-7271.25</v>
      </c>
      <c r="M11" s="11">
        <f t="shared" si="0"/>
        <v>0</v>
      </c>
      <c r="N11" s="57">
        <f t="shared" si="8"/>
        <v>7328</v>
      </c>
      <c r="O11" s="73"/>
      <c r="P11" s="73"/>
      <c r="Q11" s="14">
        <f t="shared" si="9"/>
        <v>-7328</v>
      </c>
      <c r="R11" s="4">
        <f t="shared" si="10"/>
        <v>-7328</v>
      </c>
      <c r="S11" s="11">
        <f t="shared" si="11"/>
        <v>0</v>
      </c>
      <c r="T11" s="65">
        <v>7441.5</v>
      </c>
      <c r="U11" s="73"/>
      <c r="V11" s="73"/>
      <c r="W11" s="14">
        <f t="shared" si="12"/>
        <v>-7441.5</v>
      </c>
      <c r="X11" s="4">
        <f t="shared" si="13"/>
        <v>-7441.5</v>
      </c>
      <c r="Y11" s="11">
        <f t="shared" si="14"/>
        <v>0</v>
      </c>
      <c r="Z11" s="67">
        <v>7068</v>
      </c>
      <c r="AA11" s="73"/>
      <c r="AB11" s="73"/>
      <c r="AC11" s="14">
        <f t="shared" si="15"/>
        <v>-7068</v>
      </c>
      <c r="AD11" s="4">
        <f t="shared" si="16"/>
        <v>-7068</v>
      </c>
      <c r="AE11" s="11">
        <f t="shared" si="17"/>
        <v>0</v>
      </c>
      <c r="AF11" s="59"/>
      <c r="AG11" s="6"/>
      <c r="AH11" s="70">
        <v>7353</v>
      </c>
      <c r="AI11" s="69">
        <v>7271.25</v>
      </c>
      <c r="AJ11" s="69">
        <v>7328</v>
      </c>
      <c r="AK11" s="71">
        <v>7441.5</v>
      </c>
      <c r="AL11" s="52"/>
      <c r="AN11" s="59"/>
      <c r="AO11" s="60"/>
    </row>
    <row r="12" spans="1:44" x14ac:dyDescent="0.25">
      <c r="A12" s="12">
        <v>9</v>
      </c>
      <c r="B12" s="57">
        <f t="shared" si="1"/>
        <v>7263.5</v>
      </c>
      <c r="C12" s="73"/>
      <c r="D12" s="73"/>
      <c r="E12" s="14">
        <f t="shared" si="2"/>
        <v>-7263.5</v>
      </c>
      <c r="F12" s="4">
        <f t="shared" si="3"/>
        <v>-7263.5</v>
      </c>
      <c r="G12" s="11">
        <f t="shared" si="4"/>
        <v>0</v>
      </c>
      <c r="H12" s="57">
        <f t="shared" si="5"/>
        <v>7193.75</v>
      </c>
      <c r="I12" s="73"/>
      <c r="J12" s="73"/>
      <c r="K12" s="14">
        <f t="shared" si="6"/>
        <v>-7193.75</v>
      </c>
      <c r="L12" s="4">
        <f t="shared" si="7"/>
        <v>-7193.75</v>
      </c>
      <c r="M12" s="11">
        <f t="shared" si="0"/>
        <v>0</v>
      </c>
      <c r="N12" s="57">
        <f t="shared" si="8"/>
        <v>7259</v>
      </c>
      <c r="O12" s="73"/>
      <c r="P12" s="73"/>
      <c r="Q12" s="14">
        <f t="shared" si="9"/>
        <v>-7259</v>
      </c>
      <c r="R12" s="4">
        <f t="shared" si="10"/>
        <v>-7259</v>
      </c>
      <c r="S12" s="11">
        <f t="shared" si="11"/>
        <v>0</v>
      </c>
      <c r="T12" s="41"/>
      <c r="U12" s="14"/>
      <c r="V12" s="4"/>
      <c r="W12" s="14"/>
      <c r="X12" s="4"/>
      <c r="Y12" s="11"/>
      <c r="Z12" s="67">
        <v>6972</v>
      </c>
      <c r="AA12" s="73"/>
      <c r="AB12" s="73"/>
      <c r="AC12" s="14">
        <f t="shared" si="15"/>
        <v>-6972</v>
      </c>
      <c r="AD12" s="4">
        <f t="shared" si="16"/>
        <v>-6972</v>
      </c>
      <c r="AE12" s="11">
        <f t="shared" si="17"/>
        <v>0</v>
      </c>
      <c r="AF12" s="59"/>
      <c r="AG12" s="6"/>
      <c r="AH12" s="70">
        <v>7263.5</v>
      </c>
      <c r="AI12" s="69">
        <v>7193.75</v>
      </c>
      <c r="AJ12" s="69">
        <v>7259</v>
      </c>
      <c r="AK12" s="71"/>
      <c r="AL12" s="52"/>
      <c r="AN12" s="59"/>
      <c r="AO12" s="60"/>
    </row>
    <row r="13" spans="1:44" x14ac:dyDescent="0.25">
      <c r="A13" s="12">
        <v>10</v>
      </c>
      <c r="B13" s="57">
        <f t="shared" si="1"/>
        <v>7220</v>
      </c>
      <c r="C13" s="73"/>
      <c r="D13" s="73"/>
      <c r="E13" s="14">
        <f t="shared" si="2"/>
        <v>-7220</v>
      </c>
      <c r="F13" s="4">
        <f t="shared" si="3"/>
        <v>-7220</v>
      </c>
      <c r="G13" s="11">
        <f t="shared" si="4"/>
        <v>0</v>
      </c>
      <c r="H13" s="57">
        <f t="shared" si="5"/>
        <v>7157.5</v>
      </c>
      <c r="I13" s="73"/>
      <c r="J13" s="73"/>
      <c r="K13" s="14">
        <f t="shared" si="6"/>
        <v>-7157.5</v>
      </c>
      <c r="L13" s="4">
        <f t="shared" si="7"/>
        <v>-7157.5</v>
      </c>
      <c r="M13" s="11">
        <f t="shared" si="0"/>
        <v>0</v>
      </c>
      <c r="N13" s="57">
        <f t="shared" si="8"/>
        <v>7219</v>
      </c>
      <c r="O13" s="73"/>
      <c r="P13" s="73"/>
      <c r="Q13" s="14">
        <f t="shared" si="9"/>
        <v>-7219</v>
      </c>
      <c r="R13" s="4">
        <f t="shared" si="10"/>
        <v>-7219</v>
      </c>
      <c r="S13" s="11">
        <f t="shared" si="11"/>
        <v>0</v>
      </c>
      <c r="T13" s="41"/>
      <c r="U13" s="14"/>
      <c r="V13" s="4"/>
      <c r="W13" s="14"/>
      <c r="X13" s="4"/>
      <c r="Y13" s="11"/>
      <c r="Z13" s="67">
        <v>6936.5</v>
      </c>
      <c r="AA13" s="73"/>
      <c r="AB13" s="73"/>
      <c r="AC13" s="14">
        <f t="shared" si="15"/>
        <v>-6936.5</v>
      </c>
      <c r="AD13" s="4">
        <f t="shared" si="16"/>
        <v>-6936.5</v>
      </c>
      <c r="AE13" s="11">
        <f t="shared" si="17"/>
        <v>0</v>
      </c>
      <c r="AF13" s="59"/>
      <c r="AG13" s="6"/>
      <c r="AH13" s="70">
        <v>7220</v>
      </c>
      <c r="AI13" s="69">
        <v>7157.5</v>
      </c>
      <c r="AJ13" s="69">
        <v>7219</v>
      </c>
      <c r="AK13" s="71"/>
      <c r="AL13" s="52"/>
      <c r="AN13" s="59"/>
      <c r="AO13" s="60"/>
      <c r="AQ13" s="59"/>
      <c r="AR13" s="60"/>
    </row>
    <row r="14" spans="1:44" x14ac:dyDescent="0.25">
      <c r="A14" s="12">
        <v>11</v>
      </c>
      <c r="B14" s="57">
        <f t="shared" si="1"/>
        <v>7116.5</v>
      </c>
      <c r="C14" s="73"/>
      <c r="D14" s="73"/>
      <c r="E14" s="14">
        <f t="shared" si="2"/>
        <v>-7116.5</v>
      </c>
      <c r="F14" s="4">
        <f t="shared" si="3"/>
        <v>-7116.5</v>
      </c>
      <c r="G14" s="11">
        <f t="shared" si="4"/>
        <v>0</v>
      </c>
      <c r="H14" s="57">
        <f t="shared" si="5"/>
        <v>7069.75</v>
      </c>
      <c r="I14" s="73"/>
      <c r="J14" s="73"/>
      <c r="K14" s="14">
        <f t="shared" si="6"/>
        <v>-7069.75</v>
      </c>
      <c r="L14" s="4">
        <f t="shared" si="7"/>
        <v>-7069.75</v>
      </c>
      <c r="M14" s="11">
        <f t="shared" si="0"/>
        <v>0</v>
      </c>
      <c r="N14" s="57">
        <f t="shared" si="8"/>
        <v>7130.5</v>
      </c>
      <c r="O14" s="73"/>
      <c r="P14" s="73"/>
      <c r="Q14" s="14">
        <f t="shared" si="9"/>
        <v>-7130.5</v>
      </c>
      <c r="R14" s="4">
        <f t="shared" si="10"/>
        <v>-7130.5</v>
      </c>
      <c r="S14" s="11">
        <f t="shared" si="11"/>
        <v>0</v>
      </c>
      <c r="T14" s="41"/>
      <c r="U14" s="14"/>
      <c r="V14" s="4"/>
      <c r="W14" s="14"/>
      <c r="X14" s="4"/>
      <c r="Y14" s="11"/>
      <c r="Z14" s="67">
        <v>6950.5</v>
      </c>
      <c r="AA14" s="73"/>
      <c r="AB14" s="73"/>
      <c r="AC14" s="14">
        <f t="shared" si="15"/>
        <v>-6950.5</v>
      </c>
      <c r="AD14" s="4">
        <f t="shared" si="16"/>
        <v>-6950.5</v>
      </c>
      <c r="AE14" s="11">
        <f t="shared" si="17"/>
        <v>0</v>
      </c>
      <c r="AF14" s="59"/>
      <c r="AG14" s="6"/>
      <c r="AH14" s="70">
        <v>7116.5</v>
      </c>
      <c r="AI14" s="69">
        <v>7069.75</v>
      </c>
      <c r="AJ14" s="69">
        <v>7130.5</v>
      </c>
      <c r="AK14" s="71"/>
      <c r="AL14" s="52"/>
      <c r="AN14" s="59"/>
      <c r="AO14" s="60"/>
      <c r="AQ14" s="59"/>
      <c r="AR14" s="60"/>
    </row>
    <row r="15" spans="1:44" ht="15.75" thickBot="1" x14ac:dyDescent="0.3">
      <c r="A15" s="12">
        <v>12</v>
      </c>
      <c r="B15" s="57">
        <f t="shared" si="1"/>
        <v>7057.5</v>
      </c>
      <c r="C15" s="73"/>
      <c r="D15" s="73"/>
      <c r="E15" s="14">
        <f t="shared" si="2"/>
        <v>-7057.5</v>
      </c>
      <c r="F15" s="4">
        <f t="shared" si="3"/>
        <v>-7057.5</v>
      </c>
      <c r="G15" s="11">
        <f t="shared" si="4"/>
        <v>0</v>
      </c>
      <c r="H15" s="57">
        <f t="shared" si="5"/>
        <v>7016</v>
      </c>
      <c r="I15" s="73"/>
      <c r="J15" s="73"/>
      <c r="K15" s="14">
        <f t="shared" si="6"/>
        <v>-7016</v>
      </c>
      <c r="L15" s="4">
        <f t="shared" si="7"/>
        <v>-7016</v>
      </c>
      <c r="M15" s="11">
        <f t="shared" si="0"/>
        <v>0</v>
      </c>
      <c r="N15" s="57">
        <f t="shared" si="8"/>
        <v>7075.5</v>
      </c>
      <c r="O15" s="73"/>
      <c r="P15" s="73"/>
      <c r="Q15" s="14">
        <f t="shared" si="9"/>
        <v>-7075.5</v>
      </c>
      <c r="R15" s="4">
        <f t="shared" si="10"/>
        <v>-7075.5</v>
      </c>
      <c r="S15" s="11">
        <f t="shared" si="11"/>
        <v>0</v>
      </c>
      <c r="T15" s="55"/>
      <c r="U15" s="16"/>
      <c r="V15" s="10"/>
      <c r="W15" s="16"/>
      <c r="X15" s="10"/>
      <c r="Y15" s="11"/>
      <c r="Z15" s="68"/>
      <c r="AA15" s="62"/>
      <c r="AB15" s="63"/>
      <c r="AC15" s="62"/>
      <c r="AD15" s="63"/>
      <c r="AE15" s="64"/>
      <c r="AF15" s="59"/>
      <c r="AG15" s="6"/>
      <c r="AH15" s="70">
        <v>7057.5</v>
      </c>
      <c r="AI15" s="69">
        <v>7016</v>
      </c>
      <c r="AJ15" s="69">
        <v>7075.5</v>
      </c>
      <c r="AK15" s="72"/>
      <c r="AL15" s="52"/>
      <c r="AN15" s="59"/>
      <c r="AO15" s="60"/>
      <c r="AQ15" s="59"/>
      <c r="AR15" s="60"/>
    </row>
    <row r="16" spans="1:44" ht="15.75" x14ac:dyDescent="0.25">
      <c r="A16" s="12">
        <v>13</v>
      </c>
      <c r="B16" s="57">
        <f t="shared" si="1"/>
        <v>7048</v>
      </c>
      <c r="C16" s="73"/>
      <c r="D16" s="73"/>
      <c r="E16" s="14">
        <f t="shared" si="2"/>
        <v>-7048</v>
      </c>
      <c r="F16" s="4">
        <f t="shared" si="3"/>
        <v>-7048</v>
      </c>
      <c r="G16" s="11">
        <f t="shared" si="4"/>
        <v>0</v>
      </c>
      <c r="H16" s="57">
        <f t="shared" si="5"/>
        <v>7018.25</v>
      </c>
      <c r="I16" s="73"/>
      <c r="J16" s="73"/>
      <c r="K16" s="14">
        <f t="shared" si="6"/>
        <v>-7018.25</v>
      </c>
      <c r="L16" s="4">
        <f t="shared" si="7"/>
        <v>-7018.25</v>
      </c>
      <c r="M16" s="11">
        <f t="shared" si="0"/>
        <v>0</v>
      </c>
      <c r="N16" s="57">
        <f t="shared" si="8"/>
        <v>7076</v>
      </c>
      <c r="O16" s="73"/>
      <c r="P16" s="73"/>
      <c r="Q16" s="14">
        <f t="shared" si="9"/>
        <v>-7076</v>
      </c>
      <c r="R16" s="4">
        <f t="shared" si="10"/>
        <v>-7076</v>
      </c>
      <c r="S16" s="11">
        <f t="shared" si="11"/>
        <v>0</v>
      </c>
      <c r="T16" s="55"/>
      <c r="U16" s="16"/>
      <c r="V16" s="10"/>
      <c r="W16" s="16"/>
      <c r="X16" s="10"/>
      <c r="Y16" s="11"/>
      <c r="Z16" s="52"/>
      <c r="AB16" s="59"/>
      <c r="AC16" s="60"/>
      <c r="AE16" s="59"/>
      <c r="AF16" s="59"/>
      <c r="AG16" s="6"/>
      <c r="AH16" s="70">
        <v>7048</v>
      </c>
      <c r="AI16" s="69">
        <v>7018.25</v>
      </c>
      <c r="AJ16" s="75">
        <v>7076</v>
      </c>
      <c r="AK16" s="72"/>
      <c r="AL16" s="52"/>
      <c r="AN16" s="59"/>
      <c r="AO16" s="60"/>
      <c r="AQ16" s="59"/>
      <c r="AR16" s="60"/>
    </row>
    <row r="17" spans="1:44" ht="15.75" x14ac:dyDescent="0.25">
      <c r="A17" s="12">
        <v>14</v>
      </c>
      <c r="B17" s="57">
        <f t="shared" si="1"/>
        <v>6838</v>
      </c>
      <c r="C17" s="73"/>
      <c r="D17" s="73"/>
      <c r="E17" s="14">
        <f t="shared" si="2"/>
        <v>-6838</v>
      </c>
      <c r="F17" s="4">
        <f t="shared" si="3"/>
        <v>-6838</v>
      </c>
      <c r="G17" s="11">
        <f t="shared" si="4"/>
        <v>0</v>
      </c>
      <c r="H17" s="57">
        <f t="shared" si="5"/>
        <v>6791.25</v>
      </c>
      <c r="I17" s="73"/>
      <c r="J17" s="73"/>
      <c r="K17" s="14">
        <f t="shared" si="6"/>
        <v>-6791.25</v>
      </c>
      <c r="L17" s="4">
        <f t="shared" si="7"/>
        <v>-6791.25</v>
      </c>
      <c r="M17" s="11">
        <f t="shared" si="0"/>
        <v>0</v>
      </c>
      <c r="N17" s="57">
        <f t="shared" si="8"/>
        <v>6866</v>
      </c>
      <c r="O17" s="73"/>
      <c r="P17" s="73"/>
      <c r="Q17" s="14">
        <f t="shared" si="9"/>
        <v>-6866</v>
      </c>
      <c r="R17" s="4">
        <f t="shared" si="10"/>
        <v>-6866</v>
      </c>
      <c r="S17" s="11">
        <f t="shared" si="11"/>
        <v>0</v>
      </c>
      <c r="T17" s="55"/>
      <c r="U17" s="16"/>
      <c r="V17" s="10"/>
      <c r="W17" s="16"/>
      <c r="X17" s="10"/>
      <c r="Y17" s="11"/>
      <c r="Z17" s="52"/>
      <c r="AB17" s="59"/>
      <c r="AC17" s="60"/>
      <c r="AE17" s="59"/>
      <c r="AF17" s="59"/>
      <c r="AG17" s="6"/>
      <c r="AH17" s="70">
        <v>6838</v>
      </c>
      <c r="AI17" s="69">
        <v>6791.25</v>
      </c>
      <c r="AJ17" s="74">
        <v>6866</v>
      </c>
      <c r="AK17" s="72"/>
      <c r="AL17" s="52"/>
      <c r="AN17" s="59"/>
      <c r="AO17" s="60"/>
      <c r="AQ17" s="59"/>
      <c r="AR17" s="60"/>
    </row>
    <row r="18" spans="1:44" ht="15.75" x14ac:dyDescent="0.25">
      <c r="A18" s="12">
        <v>15</v>
      </c>
      <c r="B18" s="57">
        <f t="shared" si="1"/>
        <v>6684.5</v>
      </c>
      <c r="C18" s="73"/>
      <c r="D18" s="73"/>
      <c r="E18" s="14">
        <f t="shared" si="2"/>
        <v>-6684.5</v>
      </c>
      <c r="F18" s="4">
        <f t="shared" si="3"/>
        <v>-6684.5</v>
      </c>
      <c r="G18" s="11">
        <f t="shared" si="4"/>
        <v>0</v>
      </c>
      <c r="H18" s="57">
        <f t="shared" si="5"/>
        <v>6709</v>
      </c>
      <c r="I18" s="73"/>
      <c r="J18" s="73"/>
      <c r="K18" s="14">
        <f t="shared" si="6"/>
        <v>-6709</v>
      </c>
      <c r="L18" s="4">
        <f t="shared" si="7"/>
        <v>-6709</v>
      </c>
      <c r="M18" s="11">
        <f t="shared" si="0"/>
        <v>0</v>
      </c>
      <c r="N18" s="57">
        <f t="shared" si="8"/>
        <v>6788</v>
      </c>
      <c r="O18" s="73"/>
      <c r="P18" s="73"/>
      <c r="Q18" s="14">
        <f t="shared" si="9"/>
        <v>-6788</v>
      </c>
      <c r="R18" s="4">
        <f t="shared" si="10"/>
        <v>-6788</v>
      </c>
      <c r="S18" s="11">
        <f t="shared" si="11"/>
        <v>0</v>
      </c>
      <c r="T18" s="55"/>
      <c r="U18" s="16"/>
      <c r="V18" s="10"/>
      <c r="W18" s="16"/>
      <c r="X18" s="10"/>
      <c r="Y18" s="11"/>
      <c r="Z18" s="52"/>
      <c r="AB18" s="59"/>
      <c r="AC18" s="60"/>
      <c r="AE18" s="59"/>
      <c r="AF18" s="59"/>
      <c r="AG18" s="6"/>
      <c r="AH18" s="71">
        <v>6684.5</v>
      </c>
      <c r="AI18" s="71">
        <v>6709</v>
      </c>
      <c r="AJ18" s="74">
        <v>6788</v>
      </c>
      <c r="AK18" s="72"/>
      <c r="AL18" s="52"/>
      <c r="AN18" s="59"/>
      <c r="AO18" s="60"/>
      <c r="AQ18" s="59"/>
      <c r="AR18" s="60"/>
    </row>
    <row r="19" spans="1:44" x14ac:dyDescent="0.25">
      <c r="A19" s="12">
        <v>16</v>
      </c>
      <c r="B19" s="42"/>
      <c r="C19" s="14"/>
      <c r="D19" s="7"/>
      <c r="E19" s="14"/>
      <c r="F19" s="7"/>
      <c r="G19" s="24"/>
      <c r="H19" s="42"/>
      <c r="I19" s="14"/>
      <c r="J19" s="7"/>
      <c r="K19" s="14"/>
      <c r="L19" s="7"/>
      <c r="M19" s="24"/>
      <c r="N19" s="42"/>
      <c r="O19" s="14"/>
      <c r="P19" s="7"/>
      <c r="Q19" s="14"/>
      <c r="R19" s="7"/>
      <c r="S19" s="24"/>
      <c r="T19" s="42"/>
      <c r="U19" s="14"/>
      <c r="V19" s="7"/>
      <c r="W19" s="14"/>
      <c r="X19" s="7"/>
      <c r="Y19" s="24"/>
      <c r="Z19" s="52"/>
      <c r="AB19" s="59"/>
      <c r="AC19" s="60"/>
      <c r="AE19" s="59"/>
      <c r="AF19" s="59"/>
      <c r="AG19" s="5"/>
      <c r="AH19" s="53"/>
      <c r="AI19" s="53"/>
      <c r="AJ19" s="53"/>
      <c r="AK19" s="53"/>
      <c r="AL19" s="52"/>
      <c r="AN19" s="59"/>
      <c r="AO19" s="60"/>
      <c r="AQ19" s="59"/>
      <c r="AR19" s="60"/>
    </row>
    <row r="20" spans="1:44" x14ac:dyDescent="0.25">
      <c r="A20" s="12">
        <v>17</v>
      </c>
      <c r="B20" s="42"/>
      <c r="C20" s="14"/>
      <c r="D20" s="7"/>
      <c r="E20" s="14"/>
      <c r="F20" s="7"/>
      <c r="G20" s="24"/>
      <c r="H20" s="42"/>
      <c r="I20" s="14"/>
      <c r="J20" s="7"/>
      <c r="K20" s="14"/>
      <c r="L20" s="7"/>
      <c r="M20" s="24"/>
      <c r="N20" s="42"/>
      <c r="O20" s="14"/>
      <c r="P20" s="7"/>
      <c r="Q20" s="14"/>
      <c r="R20" s="7"/>
      <c r="S20" s="24"/>
      <c r="T20" s="42"/>
      <c r="U20" s="14"/>
      <c r="V20" s="7"/>
      <c r="W20" s="14"/>
      <c r="X20" s="7"/>
      <c r="Y20" s="24"/>
      <c r="Z20" s="2"/>
      <c r="AE20" s="59"/>
      <c r="AG20" s="2"/>
      <c r="AH20" s="48"/>
      <c r="AI20" s="2"/>
      <c r="AJ20" s="2"/>
      <c r="AK20" s="2"/>
      <c r="AL20" s="2"/>
      <c r="AQ20" s="59"/>
      <c r="AR20" s="60"/>
    </row>
    <row r="21" spans="1:44" ht="15.75" thickBot="1" x14ac:dyDescent="0.3">
      <c r="A21" s="13">
        <v>18</v>
      </c>
      <c r="B21" s="43"/>
      <c r="C21" s="17"/>
      <c r="D21" s="26"/>
      <c r="E21" s="17"/>
      <c r="F21" s="26"/>
      <c r="G21" s="29"/>
      <c r="H21" s="43"/>
      <c r="I21" s="17"/>
      <c r="J21" s="26"/>
      <c r="K21" s="17"/>
      <c r="L21" s="26"/>
      <c r="M21" s="29"/>
      <c r="N21" s="43"/>
      <c r="O21" s="26"/>
      <c r="P21" s="26"/>
      <c r="Q21" s="26"/>
      <c r="R21" s="26"/>
      <c r="S21" s="29"/>
      <c r="T21" s="43"/>
      <c r="U21" s="17"/>
      <c r="V21" s="26"/>
      <c r="W21" s="17"/>
      <c r="X21" s="26"/>
      <c r="Y21" s="29"/>
      <c r="Z21" s="2"/>
      <c r="AE21" s="59"/>
      <c r="AG21" s="2"/>
      <c r="AH21" s="53"/>
      <c r="AI21" s="2"/>
      <c r="AJ21" s="2"/>
      <c r="AK21" s="2"/>
      <c r="AL21" s="2"/>
      <c r="AQ21" s="59"/>
      <c r="AR21" s="60"/>
    </row>
    <row r="22" spans="1:44" ht="7.5" customHeight="1" x14ac:dyDescent="0.25">
      <c r="A22" s="46"/>
      <c r="B22" s="2"/>
      <c r="C22" s="14"/>
      <c r="D22" s="7"/>
      <c r="E22" s="14"/>
      <c r="F22" s="7"/>
      <c r="G22" s="2"/>
      <c r="H22" s="2"/>
      <c r="I22" s="14"/>
      <c r="J22" s="7"/>
      <c r="K22" s="14"/>
      <c r="L22" s="7"/>
      <c r="M22" s="2"/>
      <c r="N22" s="2"/>
      <c r="O22" s="7"/>
      <c r="P22" s="7"/>
      <c r="Q22" s="7"/>
      <c r="R22" s="7"/>
      <c r="S22" s="2"/>
      <c r="T22" s="2"/>
      <c r="U22" s="14"/>
      <c r="V22" s="7"/>
      <c r="W22" s="14"/>
      <c r="X22" s="7"/>
      <c r="Y22" s="2"/>
      <c r="Z22" s="2"/>
      <c r="AE22" s="59"/>
      <c r="AG22" s="2"/>
      <c r="AH22" s="53"/>
      <c r="AI22" s="2"/>
      <c r="AJ22" s="2"/>
      <c r="AK22" s="2"/>
      <c r="AL22" s="2"/>
      <c r="AQ22" s="59"/>
      <c r="AR22" s="60"/>
    </row>
    <row r="23" spans="1:44" ht="15.75" thickBot="1" x14ac:dyDescent="0.3">
      <c r="A23" s="1"/>
      <c r="B23" s="2"/>
      <c r="C23" s="2"/>
      <c r="D23" s="44" t="s">
        <v>11</v>
      </c>
      <c r="E23" s="7"/>
      <c r="F23" s="14"/>
      <c r="G23" s="7"/>
      <c r="H23" s="45" t="s">
        <v>10</v>
      </c>
      <c r="I23" s="2"/>
      <c r="J23" s="4"/>
      <c r="K23" s="14"/>
      <c r="L23" s="4"/>
      <c r="M23" s="76" t="s">
        <v>18</v>
      </c>
      <c r="N23" s="76"/>
      <c r="O23"/>
      <c r="Q23"/>
      <c r="R23" s="15"/>
      <c r="T23" s="15"/>
      <c r="U23"/>
      <c r="W23"/>
      <c r="X23" s="15"/>
      <c r="AB23">
        <v>20</v>
      </c>
      <c r="AD23">
        <v>10</v>
      </c>
      <c r="AE23" s="59"/>
      <c r="AG23" s="15"/>
      <c r="AQ23" s="59"/>
      <c r="AR23" s="60"/>
    </row>
    <row r="24" spans="1:44" ht="15.75" thickBot="1" x14ac:dyDescent="0.3">
      <c r="A24" s="1"/>
      <c r="B24" s="2"/>
      <c r="C24" s="2" t="s">
        <v>0</v>
      </c>
      <c r="D24" s="19" t="s">
        <v>7</v>
      </c>
      <c r="E24" s="18" t="s">
        <v>7</v>
      </c>
      <c r="F24" s="21" t="s">
        <v>7</v>
      </c>
      <c r="G24" s="19" t="s">
        <v>7</v>
      </c>
      <c r="H24" s="20" t="s">
        <v>7</v>
      </c>
      <c r="I24" s="20" t="s">
        <v>7</v>
      </c>
      <c r="J24" s="47" t="s">
        <v>8</v>
      </c>
      <c r="K24" s="47">
        <v>30</v>
      </c>
      <c r="L24" s="4"/>
      <c r="M24" s="77">
        <v>0</v>
      </c>
      <c r="N24" s="78"/>
      <c r="O24"/>
      <c r="Q24"/>
      <c r="R24" s="15"/>
      <c r="T24" s="15"/>
      <c r="U24"/>
      <c r="W24"/>
      <c r="X24" s="15"/>
      <c r="AE24" s="59"/>
      <c r="AG24" s="15"/>
      <c r="AQ24" s="59"/>
      <c r="AR24" s="60"/>
    </row>
    <row r="25" spans="1:44" x14ac:dyDescent="0.25">
      <c r="A25" s="1"/>
      <c r="B25" s="2"/>
      <c r="C25" s="2" t="s">
        <v>1</v>
      </c>
      <c r="D25" s="22" t="s">
        <v>7</v>
      </c>
      <c r="E25" s="7" t="s">
        <v>7</v>
      </c>
      <c r="F25" s="23" t="s">
        <v>7</v>
      </c>
      <c r="G25" s="22" t="s">
        <v>7</v>
      </c>
      <c r="H25" s="2" t="s">
        <v>7</v>
      </c>
      <c r="I25" s="2" t="s">
        <v>7</v>
      </c>
      <c r="J25" s="47" t="s">
        <v>5</v>
      </c>
      <c r="K25" s="47">
        <v>22</v>
      </c>
      <c r="L25" s="4"/>
      <c r="M25" s="3"/>
      <c r="N25" s="2"/>
      <c r="O25"/>
      <c r="Q25"/>
      <c r="R25" s="15"/>
      <c r="T25" s="15"/>
      <c r="U25"/>
      <c r="W25"/>
      <c r="X25" s="15"/>
      <c r="AE25" s="59"/>
      <c r="AG25" s="15"/>
      <c r="AQ25" s="59"/>
      <c r="AR25" s="60"/>
    </row>
    <row r="26" spans="1:44" ht="15.75" thickBot="1" x14ac:dyDescent="0.3">
      <c r="A26" s="1"/>
      <c r="B26" s="2"/>
      <c r="C26" s="2" t="s">
        <v>2</v>
      </c>
      <c r="D26" s="25" t="s">
        <v>7</v>
      </c>
      <c r="E26" s="26" t="s">
        <v>7</v>
      </c>
      <c r="F26" s="27" t="s">
        <v>7</v>
      </c>
      <c r="G26" s="25" t="s">
        <v>7</v>
      </c>
      <c r="H26" s="28" t="s">
        <v>7</v>
      </c>
      <c r="I26" s="28" t="s">
        <v>7</v>
      </c>
      <c r="J26" s="47" t="s">
        <v>6</v>
      </c>
      <c r="K26" s="47">
        <v>15</v>
      </c>
      <c r="L26" s="4"/>
      <c r="M26" s="3"/>
      <c r="N26" s="2"/>
      <c r="O26"/>
      <c r="Q26"/>
      <c r="R26" s="15"/>
      <c r="T26" s="15"/>
      <c r="U26"/>
      <c r="W26"/>
      <c r="X26" s="15"/>
      <c r="AE26" s="59"/>
      <c r="AG26" s="15"/>
      <c r="AQ26" s="59"/>
      <c r="AR26" s="60"/>
    </row>
    <row r="27" spans="1:44" ht="27" customHeight="1" x14ac:dyDescent="0.25">
      <c r="A27" s="4"/>
      <c r="B27" s="3"/>
      <c r="C27" s="2"/>
      <c r="E27"/>
      <c r="G27" s="15"/>
      <c r="K27"/>
      <c r="M27" s="15"/>
      <c r="O27"/>
      <c r="Q27"/>
      <c r="U27"/>
      <c r="V27" s="15"/>
      <c r="W27"/>
      <c r="AG27" s="15"/>
    </row>
    <row r="28" spans="1:44" x14ac:dyDescent="0.25">
      <c r="A28" s="4"/>
      <c r="B28" s="3"/>
      <c r="C28" s="2"/>
      <c r="E28"/>
      <c r="G28" s="15"/>
      <c r="K28"/>
      <c r="M28" s="15"/>
      <c r="O28"/>
      <c r="Q28"/>
      <c r="U28"/>
      <c r="V28" s="15"/>
      <c r="W28"/>
      <c r="AG28" s="15"/>
    </row>
    <row r="29" spans="1:44" x14ac:dyDescent="0.25">
      <c r="A29" s="4"/>
      <c r="B29" s="3"/>
      <c r="C29" s="2"/>
      <c r="E29"/>
      <c r="G29" s="15"/>
      <c r="K29"/>
      <c r="M29" s="15"/>
      <c r="O29"/>
      <c r="Q29"/>
      <c r="U29"/>
      <c r="V29" s="15"/>
      <c r="W29"/>
      <c r="AG29" s="15"/>
    </row>
    <row r="30" spans="1:44" x14ac:dyDescent="0.25">
      <c r="A30" s="4"/>
      <c r="B30" s="3"/>
      <c r="C30" s="2"/>
      <c r="E30"/>
      <c r="G30" s="15"/>
      <c r="K30"/>
      <c r="M30" s="15"/>
      <c r="O30"/>
      <c r="Q30"/>
      <c r="U30"/>
      <c r="V30" s="15"/>
      <c r="W30"/>
      <c r="AG30" s="15"/>
    </row>
    <row r="31" spans="1:44" ht="15.75" x14ac:dyDescent="0.25">
      <c r="A31" s="4"/>
      <c r="B31" s="3"/>
      <c r="C31" s="58"/>
      <c r="E31"/>
      <c r="G31" s="15"/>
      <c r="K31"/>
      <c r="M31" s="15"/>
      <c r="O31"/>
      <c r="Q31"/>
      <c r="U31"/>
      <c r="V31" s="15"/>
      <c r="W31"/>
      <c r="AG31" s="15"/>
    </row>
    <row r="32" spans="1:44" ht="15.75" x14ac:dyDescent="0.25">
      <c r="A32" s="4"/>
      <c r="B32" s="3"/>
      <c r="C32" s="58"/>
      <c r="E32"/>
      <c r="G32" s="15"/>
      <c r="K32"/>
      <c r="M32" s="15"/>
      <c r="O32"/>
      <c r="Q32"/>
      <c r="U32"/>
      <c r="V32" s="15"/>
      <c r="W32"/>
      <c r="AG32" s="15"/>
    </row>
    <row r="33" spans="1:33" ht="15.75" x14ac:dyDescent="0.25">
      <c r="A33" s="4"/>
      <c r="B33" s="3"/>
      <c r="C33" s="58"/>
      <c r="E33"/>
      <c r="G33" s="15"/>
      <c r="K33"/>
      <c r="M33" s="15"/>
      <c r="O33"/>
      <c r="Q33"/>
      <c r="U33"/>
      <c r="V33" s="15"/>
      <c r="W33"/>
      <c r="AG33" s="15"/>
    </row>
    <row r="34" spans="1:33" ht="15.75" x14ac:dyDescent="0.25">
      <c r="A34" s="4"/>
      <c r="B34" s="3"/>
      <c r="C34" s="58"/>
      <c r="E34"/>
      <c r="G34" s="15"/>
      <c r="K34"/>
      <c r="M34" s="15"/>
      <c r="O34"/>
      <c r="Q34"/>
      <c r="U34"/>
      <c r="V34" s="15"/>
      <c r="W34"/>
      <c r="AG34" s="15"/>
    </row>
    <row r="35" spans="1:33" ht="15.75" x14ac:dyDescent="0.25">
      <c r="A35" s="4"/>
      <c r="B35" s="3"/>
      <c r="C35" s="58"/>
      <c r="E35"/>
      <c r="G35" s="15"/>
      <c r="K35"/>
      <c r="M35" s="15"/>
      <c r="O35"/>
      <c r="Q35"/>
      <c r="U35"/>
      <c r="V35" s="15"/>
      <c r="W35"/>
      <c r="AG35" s="15"/>
    </row>
    <row r="36" spans="1:33" ht="15.75" x14ac:dyDescent="0.25">
      <c r="A36" s="4"/>
      <c r="B36" s="3"/>
      <c r="C36" s="58"/>
      <c r="E36"/>
      <c r="G36" s="15"/>
      <c r="K36"/>
      <c r="M36" s="15"/>
      <c r="O36"/>
      <c r="Q36"/>
      <c r="U36"/>
      <c r="V36" s="15"/>
      <c r="W36"/>
      <c r="AG36" s="15"/>
    </row>
    <row r="37" spans="1:33" ht="15.75" x14ac:dyDescent="0.25">
      <c r="A37" s="4"/>
      <c r="B37" s="3"/>
      <c r="C37" s="58"/>
      <c r="E37"/>
      <c r="G37" s="15"/>
      <c r="K37"/>
      <c r="M37" s="15"/>
      <c r="O37"/>
      <c r="Q37"/>
      <c r="U37"/>
      <c r="V37" s="15"/>
      <c r="W37"/>
      <c r="AG37" s="15"/>
    </row>
    <row r="38" spans="1:33" ht="15.75" x14ac:dyDescent="0.25">
      <c r="A38" s="4"/>
      <c r="B38" s="3"/>
      <c r="C38" s="58"/>
      <c r="E38"/>
      <c r="G38" s="15"/>
      <c r="K38"/>
      <c r="M38" s="15"/>
      <c r="O38"/>
      <c r="Q38"/>
      <c r="U38"/>
      <c r="V38" s="15"/>
      <c r="W38"/>
      <c r="AG38" s="15"/>
    </row>
    <row r="39" spans="1:33" ht="15.75" x14ac:dyDescent="0.25">
      <c r="A39" s="4"/>
      <c r="B39" s="3"/>
      <c r="C39" s="58"/>
      <c r="E39"/>
      <c r="G39" s="15"/>
      <c r="K39"/>
      <c r="M39" s="15"/>
      <c r="O39"/>
      <c r="Q39"/>
      <c r="U39"/>
      <c r="V39" s="15"/>
      <c r="W39"/>
      <c r="AG39" s="15"/>
    </row>
    <row r="40" spans="1:33" ht="15.75" x14ac:dyDescent="0.25">
      <c r="A40" s="4"/>
      <c r="B40" s="3"/>
      <c r="C40" s="58"/>
      <c r="E40"/>
      <c r="G40" s="15"/>
      <c r="K40"/>
      <c r="M40" s="15"/>
      <c r="O40"/>
      <c r="Q40"/>
      <c r="U40"/>
      <c r="V40" s="15"/>
      <c r="W40"/>
      <c r="AG40" s="15"/>
    </row>
    <row r="41" spans="1:33" ht="15.75" x14ac:dyDescent="0.25">
      <c r="B41" s="3"/>
      <c r="C41" s="58"/>
      <c r="E41"/>
      <c r="G41" s="15"/>
      <c r="K41"/>
      <c r="M41" s="15"/>
      <c r="O41"/>
      <c r="Q41"/>
      <c r="U41"/>
      <c r="V41" s="15"/>
      <c r="W41"/>
      <c r="AG41" s="15"/>
    </row>
    <row r="42" spans="1:33" ht="15.75" x14ac:dyDescent="0.25">
      <c r="B42" s="3"/>
      <c r="C42" s="58"/>
      <c r="E42"/>
      <c r="G42" s="15"/>
      <c r="K42"/>
      <c r="M42" s="15"/>
      <c r="O42"/>
      <c r="Q42"/>
      <c r="U42"/>
      <c r="V42" s="15"/>
      <c r="W42"/>
      <c r="AG42" s="15"/>
    </row>
    <row r="43" spans="1:33" ht="15.75" x14ac:dyDescent="0.25">
      <c r="B43" s="3"/>
      <c r="C43" s="58"/>
      <c r="E43"/>
      <c r="G43" s="15"/>
      <c r="K43"/>
      <c r="M43" s="15"/>
      <c r="O43"/>
      <c r="Q43"/>
      <c r="U43"/>
      <c r="V43" s="15"/>
      <c r="W43"/>
      <c r="AG43" s="15"/>
    </row>
    <row r="44" spans="1:33" ht="15.75" x14ac:dyDescent="0.25">
      <c r="B44" s="3"/>
      <c r="C44" s="58"/>
      <c r="E44"/>
      <c r="G44" s="15"/>
      <c r="K44"/>
      <c r="M44" s="15"/>
      <c r="O44"/>
      <c r="Q44"/>
      <c r="U44"/>
      <c r="V44" s="15"/>
      <c r="W44"/>
      <c r="AG44" s="15"/>
    </row>
    <row r="45" spans="1:33" x14ac:dyDescent="0.25">
      <c r="C45"/>
      <c r="E45"/>
      <c r="G45" s="15"/>
      <c r="K45"/>
      <c r="M45" s="15"/>
      <c r="O45"/>
      <c r="Q45"/>
      <c r="U45"/>
      <c r="V45" s="15"/>
      <c r="W45"/>
      <c r="AG45" s="15"/>
    </row>
    <row r="46" spans="1:33" x14ac:dyDescent="0.25">
      <c r="C46"/>
      <c r="E46"/>
      <c r="G46" s="15"/>
      <c r="K46"/>
      <c r="M46" s="15"/>
      <c r="O46"/>
      <c r="Q46"/>
      <c r="U46"/>
      <c r="V46" s="15"/>
      <c r="W46"/>
      <c r="AG46" s="15"/>
    </row>
    <row r="47" spans="1:33" x14ac:dyDescent="0.25">
      <c r="C47"/>
      <c r="E47"/>
      <c r="G47" s="15"/>
      <c r="K47"/>
      <c r="M47" s="15"/>
      <c r="O47"/>
      <c r="Q47"/>
      <c r="U47"/>
      <c r="V47" s="15"/>
      <c r="W47"/>
      <c r="AG47" s="15"/>
    </row>
    <row r="48" spans="1:33" x14ac:dyDescent="0.25">
      <c r="C48"/>
      <c r="E48"/>
      <c r="G48" s="15"/>
      <c r="K48"/>
      <c r="M48" s="15"/>
      <c r="O48"/>
      <c r="Q48"/>
      <c r="U48"/>
      <c r="V48" s="15"/>
      <c r="W48"/>
      <c r="AG48" s="15"/>
    </row>
    <row r="49" spans="3:33" x14ac:dyDescent="0.25">
      <c r="C49"/>
      <c r="E49"/>
      <c r="G49" s="15"/>
      <c r="K49"/>
      <c r="M49" s="15"/>
      <c r="O49"/>
      <c r="Q49"/>
      <c r="U49"/>
      <c r="V49" s="15"/>
      <c r="W49"/>
      <c r="AG49" s="15"/>
    </row>
    <row r="50" spans="3:33" x14ac:dyDescent="0.25">
      <c r="C50"/>
      <c r="E50"/>
      <c r="G50" s="15"/>
      <c r="K50"/>
      <c r="M50" s="15"/>
      <c r="O50"/>
      <c r="Q50"/>
      <c r="U50"/>
      <c r="V50" s="15"/>
      <c r="W50"/>
      <c r="AG50" s="15"/>
    </row>
    <row r="51" spans="3:33" x14ac:dyDescent="0.25">
      <c r="C51"/>
      <c r="E51"/>
      <c r="G51" s="15"/>
      <c r="K51"/>
      <c r="M51" s="15"/>
      <c r="O51"/>
      <c r="Q51"/>
      <c r="U51"/>
      <c r="V51" s="15"/>
      <c r="W51"/>
      <c r="AG51" s="15"/>
    </row>
    <row r="52" spans="3:33" x14ac:dyDescent="0.25">
      <c r="C52"/>
      <c r="E52"/>
      <c r="G52" s="15"/>
      <c r="K52"/>
      <c r="M52" s="15"/>
      <c r="O52"/>
      <c r="Q52"/>
      <c r="U52"/>
      <c r="V52" s="15"/>
      <c r="W52"/>
      <c r="AG52" s="15"/>
    </row>
    <row r="53" spans="3:33" x14ac:dyDescent="0.25">
      <c r="C53"/>
      <c r="E53"/>
      <c r="G53" s="15"/>
      <c r="K53"/>
      <c r="M53" s="15"/>
      <c r="O53"/>
      <c r="Q53"/>
      <c r="U53"/>
      <c r="V53" s="15"/>
      <c r="W53"/>
      <c r="AG53" s="15"/>
    </row>
    <row r="54" spans="3:33" x14ac:dyDescent="0.25">
      <c r="C54"/>
      <c r="E54"/>
      <c r="G54" s="15"/>
      <c r="K54"/>
      <c r="M54" s="15"/>
      <c r="O54"/>
      <c r="Q54"/>
      <c r="U54"/>
      <c r="V54" s="15"/>
      <c r="W54"/>
      <c r="AG54" s="15"/>
    </row>
    <row r="55" spans="3:33" x14ac:dyDescent="0.25">
      <c r="C55"/>
      <c r="E55"/>
      <c r="G55" s="15"/>
      <c r="K55"/>
      <c r="M55" s="15"/>
      <c r="O55"/>
      <c r="Q55"/>
      <c r="U55"/>
      <c r="V55" s="15"/>
      <c r="W55"/>
      <c r="AG55" s="15"/>
    </row>
    <row r="56" spans="3:33" x14ac:dyDescent="0.25">
      <c r="C56"/>
      <c r="E56"/>
      <c r="G56" s="15"/>
      <c r="K56"/>
      <c r="M56" s="15"/>
      <c r="O56"/>
      <c r="Q56"/>
      <c r="U56"/>
      <c r="V56" s="15"/>
      <c r="W56"/>
      <c r="AG56" s="15"/>
    </row>
    <row r="57" spans="3:33" x14ac:dyDescent="0.25">
      <c r="C57"/>
      <c r="E57"/>
      <c r="G57" s="15"/>
      <c r="K57"/>
      <c r="M57" s="15"/>
      <c r="O57"/>
      <c r="Q57"/>
      <c r="U57"/>
      <c r="V57" s="15"/>
      <c r="W57"/>
      <c r="AG57" s="15"/>
    </row>
    <row r="58" spans="3:33" x14ac:dyDescent="0.25">
      <c r="C58"/>
      <c r="E58"/>
      <c r="G58" s="15"/>
      <c r="K58"/>
      <c r="M58" s="15"/>
      <c r="O58"/>
      <c r="Q58"/>
      <c r="U58"/>
      <c r="V58" s="15"/>
      <c r="W58"/>
      <c r="AG58" s="15"/>
    </row>
    <row r="59" spans="3:33" x14ac:dyDescent="0.25">
      <c r="C59"/>
      <c r="E59"/>
      <c r="G59" s="15"/>
      <c r="K59"/>
      <c r="M59" s="15"/>
      <c r="O59"/>
      <c r="Q59"/>
      <c r="U59"/>
      <c r="V59" s="15"/>
      <c r="W59"/>
      <c r="AG59" s="15"/>
    </row>
    <row r="60" spans="3:33" x14ac:dyDescent="0.25">
      <c r="C60"/>
      <c r="E60"/>
      <c r="G60" s="15"/>
      <c r="K60"/>
      <c r="M60" s="15"/>
      <c r="O60"/>
      <c r="Q60"/>
      <c r="U60"/>
      <c r="V60" s="15"/>
      <c r="W60"/>
      <c r="AG60" s="15"/>
    </row>
    <row r="61" spans="3:33" x14ac:dyDescent="0.25">
      <c r="C61"/>
      <c r="E61"/>
      <c r="G61" s="15"/>
      <c r="K61"/>
      <c r="M61" s="15"/>
      <c r="O61"/>
      <c r="Q61"/>
      <c r="U61"/>
      <c r="V61" s="15"/>
      <c r="W61"/>
      <c r="AG61" s="15"/>
    </row>
    <row r="62" spans="3:33" x14ac:dyDescent="0.25">
      <c r="C62"/>
      <c r="E62"/>
      <c r="G62" s="15"/>
      <c r="K62"/>
      <c r="M62" s="15"/>
      <c r="O62"/>
      <c r="Q62"/>
      <c r="U62"/>
      <c r="V62" s="15"/>
      <c r="W62"/>
      <c r="AG62" s="15"/>
    </row>
    <row r="63" spans="3:33" x14ac:dyDescent="0.25">
      <c r="C63"/>
      <c r="E63"/>
      <c r="G63" s="15"/>
      <c r="K63"/>
      <c r="M63" s="15"/>
      <c r="O63"/>
      <c r="Q63"/>
      <c r="U63"/>
      <c r="V63" s="15"/>
      <c r="W63"/>
      <c r="AG63" s="15"/>
    </row>
    <row r="64" spans="3:33" x14ac:dyDescent="0.25">
      <c r="C64"/>
      <c r="E64"/>
      <c r="G64" s="15"/>
      <c r="K64"/>
      <c r="M64" s="15"/>
      <c r="O64"/>
      <c r="Q64"/>
      <c r="U64"/>
      <c r="V64" s="15"/>
      <c r="W64"/>
      <c r="AG64" s="15"/>
    </row>
    <row r="65" spans="3:33" x14ac:dyDescent="0.25">
      <c r="C65"/>
      <c r="E65"/>
      <c r="G65" s="15"/>
      <c r="K65"/>
      <c r="M65" s="15"/>
      <c r="O65"/>
      <c r="Q65"/>
      <c r="U65"/>
      <c r="V65" s="15"/>
      <c r="W65"/>
      <c r="AG65" s="15"/>
    </row>
    <row r="66" spans="3:33" x14ac:dyDescent="0.25">
      <c r="C66"/>
      <c r="E66"/>
      <c r="G66" s="15"/>
      <c r="K66"/>
      <c r="M66" s="15"/>
      <c r="O66"/>
      <c r="Q66"/>
      <c r="U66"/>
      <c r="V66" s="15"/>
      <c r="W66"/>
      <c r="AG66" s="15"/>
    </row>
    <row r="67" spans="3:33" x14ac:dyDescent="0.25">
      <c r="C67"/>
      <c r="E67"/>
      <c r="G67" s="15"/>
      <c r="K67"/>
      <c r="M67" s="15"/>
      <c r="O67"/>
      <c r="Q67"/>
      <c r="U67"/>
      <c r="V67" s="15"/>
      <c r="W67"/>
      <c r="AG67" s="15"/>
    </row>
    <row r="68" spans="3:33" x14ac:dyDescent="0.25">
      <c r="O68"/>
      <c r="Q68"/>
      <c r="R68" s="15"/>
      <c r="T68" s="15"/>
      <c r="U68"/>
      <c r="W68"/>
      <c r="X68" s="15"/>
      <c r="AG68" s="15"/>
    </row>
    <row r="69" spans="3:33" x14ac:dyDescent="0.25">
      <c r="O69"/>
      <c r="Q69"/>
      <c r="R69" s="15"/>
      <c r="T69" s="15"/>
      <c r="U69"/>
      <c r="W69"/>
      <c r="X69" s="15"/>
      <c r="AG69" s="15"/>
    </row>
    <row r="70" spans="3:33" x14ac:dyDescent="0.25">
      <c r="O70"/>
      <c r="Q70"/>
      <c r="R70" s="15"/>
      <c r="T70" s="15"/>
      <c r="U70"/>
      <c r="W70"/>
      <c r="X70" s="15"/>
      <c r="AG70" s="15"/>
    </row>
    <row r="71" spans="3:33" x14ac:dyDescent="0.25">
      <c r="O71"/>
      <c r="Q71"/>
      <c r="R71" s="15"/>
      <c r="T71" s="15"/>
      <c r="U71"/>
      <c r="W71"/>
      <c r="X71" s="15"/>
      <c r="AG71" s="15"/>
    </row>
    <row r="72" spans="3:33" x14ac:dyDescent="0.25">
      <c r="O72"/>
      <c r="Q72"/>
      <c r="R72" s="15"/>
      <c r="T72" s="15"/>
      <c r="U72"/>
      <c r="W72"/>
      <c r="X72" s="15"/>
      <c r="AG72" s="15"/>
    </row>
    <row r="73" spans="3:33" x14ac:dyDescent="0.25">
      <c r="O73"/>
      <c r="Q73"/>
      <c r="R73" s="15"/>
      <c r="T73" s="15"/>
      <c r="U73"/>
      <c r="W73"/>
      <c r="X73" s="15"/>
      <c r="AG73" s="15"/>
    </row>
    <row r="74" spans="3:33" x14ac:dyDescent="0.25">
      <c r="O74"/>
      <c r="Q74"/>
      <c r="R74" s="15"/>
      <c r="T74" s="15"/>
      <c r="U74"/>
      <c r="W74"/>
      <c r="X74" s="15"/>
      <c r="AG74" s="15"/>
    </row>
    <row r="75" spans="3:33" x14ac:dyDescent="0.25">
      <c r="O75"/>
      <c r="Q75"/>
      <c r="R75" s="15"/>
      <c r="T75" s="15"/>
      <c r="U75"/>
      <c r="W75"/>
      <c r="X75" s="15"/>
      <c r="AG75" s="15"/>
    </row>
    <row r="76" spans="3:33" x14ac:dyDescent="0.25">
      <c r="O76"/>
      <c r="Q76"/>
      <c r="R76" s="15"/>
      <c r="T76" s="15"/>
      <c r="U76"/>
      <c r="W76"/>
      <c r="X76" s="15"/>
      <c r="AG76" s="15"/>
    </row>
    <row r="77" spans="3:33" x14ac:dyDescent="0.25">
      <c r="O77"/>
      <c r="Q77"/>
      <c r="R77" s="15"/>
      <c r="T77" s="15"/>
      <c r="U77"/>
      <c r="W77"/>
      <c r="X77" s="15"/>
      <c r="AG77" s="15"/>
    </row>
    <row r="78" spans="3:33" x14ac:dyDescent="0.25">
      <c r="O78"/>
      <c r="Q78"/>
      <c r="R78" s="15"/>
      <c r="T78" s="15"/>
      <c r="U78"/>
      <c r="W78"/>
      <c r="X78" s="15"/>
      <c r="AG78" s="15"/>
    </row>
    <row r="79" spans="3:33" x14ac:dyDescent="0.25">
      <c r="O79"/>
      <c r="Q79"/>
      <c r="R79" s="15"/>
      <c r="T79" s="15"/>
      <c r="U79"/>
      <c r="W79"/>
      <c r="X79" s="15"/>
      <c r="AG79" s="15"/>
    </row>
    <row r="80" spans="3:33" x14ac:dyDescent="0.25">
      <c r="O80"/>
      <c r="Q80"/>
      <c r="R80" s="15"/>
      <c r="T80" s="15"/>
      <c r="U80"/>
      <c r="W80"/>
      <c r="X80" s="15"/>
      <c r="AG80" s="15"/>
    </row>
    <row r="81" spans="15:33" x14ac:dyDescent="0.25">
      <c r="O81"/>
      <c r="Q81"/>
      <c r="R81" s="15"/>
      <c r="T81" s="15"/>
      <c r="U81"/>
      <c r="W81"/>
      <c r="X81" s="15"/>
      <c r="AG81" s="15"/>
    </row>
    <row r="82" spans="15:33" x14ac:dyDescent="0.25">
      <c r="O82"/>
      <c r="Q82"/>
      <c r="R82" s="15"/>
      <c r="T82" s="15"/>
      <c r="U82"/>
      <c r="W82"/>
      <c r="X82" s="15"/>
      <c r="AG82" s="15"/>
    </row>
    <row r="83" spans="15:33" x14ac:dyDescent="0.25">
      <c r="O83"/>
      <c r="Q83"/>
      <c r="R83" s="15"/>
      <c r="T83" s="15"/>
      <c r="U83"/>
      <c r="W83"/>
      <c r="X83" s="15"/>
      <c r="AG83" s="15"/>
    </row>
    <row r="84" spans="15:33" x14ac:dyDescent="0.25">
      <c r="O84"/>
      <c r="Q84"/>
      <c r="R84" s="15"/>
      <c r="T84" s="15"/>
      <c r="U84"/>
      <c r="W84"/>
      <c r="X84" s="15"/>
      <c r="AG84" s="15"/>
    </row>
    <row r="85" spans="15:33" x14ac:dyDescent="0.25">
      <c r="O85"/>
      <c r="Q85"/>
      <c r="R85" s="15"/>
      <c r="T85" s="15"/>
      <c r="U85"/>
      <c r="W85"/>
      <c r="X85" s="15"/>
      <c r="AG85" s="15"/>
    </row>
    <row r="86" spans="15:33" x14ac:dyDescent="0.25">
      <c r="O86"/>
      <c r="Q86"/>
      <c r="R86" s="15"/>
      <c r="T86" s="15"/>
      <c r="U86"/>
      <c r="W86"/>
      <c r="X86" s="15"/>
      <c r="AG86" s="15"/>
    </row>
    <row r="87" spans="15:33" x14ac:dyDescent="0.25">
      <c r="O87"/>
      <c r="Q87"/>
      <c r="R87" s="15"/>
      <c r="T87" s="15"/>
      <c r="U87"/>
      <c r="W87"/>
      <c r="X87" s="15"/>
      <c r="AG87" s="15"/>
    </row>
    <row r="88" spans="15:33" x14ac:dyDescent="0.25">
      <c r="O88"/>
      <c r="Q88"/>
      <c r="R88" s="15"/>
      <c r="T88" s="15"/>
      <c r="U88"/>
      <c r="W88"/>
      <c r="X88" s="15"/>
      <c r="AG88" s="15"/>
    </row>
    <row r="89" spans="15:33" x14ac:dyDescent="0.25">
      <c r="O89"/>
      <c r="Q89"/>
      <c r="R89" s="15"/>
      <c r="T89" s="15"/>
      <c r="U89"/>
      <c r="W89"/>
      <c r="X89" s="15"/>
      <c r="AG89" s="15"/>
    </row>
    <row r="90" spans="15:33" x14ac:dyDescent="0.25">
      <c r="O90"/>
      <c r="Q90"/>
      <c r="R90" s="15"/>
      <c r="T90" s="15"/>
      <c r="U90"/>
      <c r="W90"/>
      <c r="X90" s="15"/>
      <c r="AG90" s="15"/>
    </row>
    <row r="91" spans="15:33" x14ac:dyDescent="0.25">
      <c r="O91"/>
      <c r="Q91"/>
      <c r="R91" s="15"/>
      <c r="T91" s="15"/>
      <c r="U91"/>
      <c r="W91"/>
      <c r="X91" s="15"/>
      <c r="AG91" s="15"/>
    </row>
    <row r="92" spans="15:33" x14ac:dyDescent="0.25">
      <c r="O92"/>
      <c r="Q92"/>
      <c r="R92" s="15"/>
      <c r="T92" s="15"/>
      <c r="U92"/>
      <c r="W92"/>
      <c r="X92" s="15"/>
      <c r="AG92" s="15"/>
    </row>
    <row r="93" spans="15:33" x14ac:dyDescent="0.25">
      <c r="O93"/>
      <c r="Q93"/>
      <c r="R93" s="15"/>
      <c r="T93" s="15"/>
      <c r="U93"/>
      <c r="W93"/>
      <c r="X93" s="15"/>
      <c r="AG93" s="15"/>
    </row>
    <row r="94" spans="15:33" x14ac:dyDescent="0.25">
      <c r="O94"/>
      <c r="Q94"/>
      <c r="R94" s="15"/>
      <c r="T94" s="15"/>
      <c r="U94"/>
      <c r="W94"/>
      <c r="X94" s="15"/>
      <c r="AG94" s="15"/>
    </row>
    <row r="95" spans="15:33" x14ac:dyDescent="0.25">
      <c r="O95"/>
      <c r="Q95"/>
      <c r="R95" s="15"/>
      <c r="T95" s="15"/>
      <c r="U95"/>
      <c r="W95"/>
      <c r="X95" s="15"/>
      <c r="AG95" s="15"/>
    </row>
    <row r="96" spans="15:33" x14ac:dyDescent="0.25">
      <c r="O96"/>
      <c r="Q96"/>
      <c r="R96" s="15"/>
      <c r="T96" s="15"/>
      <c r="U96"/>
      <c r="W96"/>
      <c r="X96" s="15"/>
      <c r="AG96" s="15"/>
    </row>
    <row r="97" spans="15:33" x14ac:dyDescent="0.25">
      <c r="O97"/>
      <c r="Q97"/>
      <c r="R97" s="15"/>
      <c r="T97" s="15"/>
      <c r="U97"/>
      <c r="W97"/>
      <c r="X97" s="15"/>
      <c r="AG97" s="15"/>
    </row>
    <row r="98" spans="15:33" x14ac:dyDescent="0.25">
      <c r="O98"/>
      <c r="Q98"/>
      <c r="R98" s="15"/>
      <c r="T98" s="15"/>
      <c r="U98"/>
      <c r="W98"/>
      <c r="X98" s="15"/>
      <c r="AG98" s="15"/>
    </row>
    <row r="99" spans="15:33" x14ac:dyDescent="0.25">
      <c r="O99"/>
      <c r="Q99"/>
      <c r="R99" s="15"/>
      <c r="T99" s="15"/>
      <c r="U99"/>
      <c r="W99"/>
      <c r="X99" s="15"/>
      <c r="AG99" s="15"/>
    </row>
    <row r="100" spans="15:33" x14ac:dyDescent="0.25">
      <c r="O100"/>
      <c r="Q100"/>
      <c r="R100" s="15"/>
      <c r="T100" s="15"/>
      <c r="U100"/>
      <c r="W100"/>
      <c r="X100" s="15"/>
      <c r="AG100" s="15"/>
    </row>
    <row r="101" spans="15:33" x14ac:dyDescent="0.25">
      <c r="O101"/>
      <c r="Q101"/>
      <c r="R101" s="15"/>
      <c r="T101" s="15"/>
      <c r="U101"/>
      <c r="W101"/>
      <c r="X101" s="15"/>
      <c r="AG101" s="15"/>
    </row>
    <row r="102" spans="15:33" x14ac:dyDescent="0.25">
      <c r="O102"/>
      <c r="Q102"/>
      <c r="R102" s="15"/>
      <c r="T102" s="15"/>
      <c r="U102"/>
      <c r="W102"/>
      <c r="X102" s="15"/>
      <c r="AG102" s="15"/>
    </row>
    <row r="103" spans="15:33" x14ac:dyDescent="0.25">
      <c r="O103"/>
      <c r="Q103"/>
      <c r="R103" s="15"/>
      <c r="T103" s="15"/>
      <c r="U103"/>
      <c r="W103"/>
      <c r="X103" s="15"/>
      <c r="AG103" s="15"/>
    </row>
    <row r="104" spans="15:33" x14ac:dyDescent="0.25">
      <c r="O104"/>
      <c r="Q104"/>
      <c r="R104" s="15"/>
      <c r="T104" s="15"/>
      <c r="U104"/>
      <c r="W104"/>
      <c r="X104" s="15"/>
      <c r="AG104" s="15"/>
    </row>
    <row r="105" spans="15:33" x14ac:dyDescent="0.25">
      <c r="O105"/>
      <c r="Q105"/>
      <c r="R105" s="15"/>
      <c r="T105" s="15"/>
      <c r="U105"/>
      <c r="W105"/>
      <c r="X105" s="15"/>
      <c r="AG105" s="15"/>
    </row>
    <row r="106" spans="15:33" x14ac:dyDescent="0.25">
      <c r="O106"/>
      <c r="Q106"/>
      <c r="R106" s="15"/>
      <c r="T106" s="15"/>
      <c r="U106"/>
      <c r="W106"/>
      <c r="X106" s="15"/>
      <c r="AG106" s="15"/>
    </row>
    <row r="107" spans="15:33" x14ac:dyDescent="0.25">
      <c r="O107"/>
      <c r="Q107"/>
      <c r="R107" s="15"/>
      <c r="T107" s="15"/>
      <c r="U107"/>
      <c r="W107"/>
      <c r="X107" s="15"/>
      <c r="AG107" s="15"/>
    </row>
    <row r="108" spans="15:33" x14ac:dyDescent="0.25">
      <c r="O108"/>
      <c r="Q108"/>
      <c r="R108" s="15"/>
      <c r="T108" s="15"/>
      <c r="U108"/>
      <c r="W108"/>
      <c r="X108" s="15"/>
      <c r="AG108" s="15"/>
    </row>
    <row r="109" spans="15:33" x14ac:dyDescent="0.25">
      <c r="O109"/>
      <c r="Q109"/>
      <c r="R109" s="15"/>
      <c r="T109" s="15"/>
      <c r="U109"/>
      <c r="W109"/>
      <c r="X109" s="15"/>
      <c r="AG109" s="15"/>
    </row>
    <row r="110" spans="15:33" x14ac:dyDescent="0.25">
      <c r="O110"/>
      <c r="Q110"/>
      <c r="R110" s="15"/>
      <c r="T110" s="15"/>
      <c r="U110"/>
      <c r="W110"/>
      <c r="X110" s="15"/>
      <c r="AG110" s="15"/>
    </row>
    <row r="111" spans="15:33" x14ac:dyDescent="0.25">
      <c r="O111"/>
      <c r="Q111"/>
      <c r="R111" s="15"/>
      <c r="T111" s="15"/>
      <c r="U111"/>
      <c r="W111"/>
      <c r="X111" s="15"/>
      <c r="AG111" s="15"/>
    </row>
    <row r="112" spans="15:33" x14ac:dyDescent="0.25">
      <c r="O112"/>
      <c r="Q112"/>
      <c r="R112" s="15"/>
      <c r="T112" s="15"/>
      <c r="U112"/>
      <c r="W112"/>
      <c r="X112" s="15"/>
      <c r="AG112" s="15"/>
    </row>
    <row r="113" spans="15:33" x14ac:dyDescent="0.25">
      <c r="O113"/>
      <c r="Q113"/>
      <c r="R113" s="15"/>
      <c r="T113" s="15"/>
      <c r="U113"/>
      <c r="W113"/>
      <c r="X113" s="15"/>
      <c r="AG113" s="15"/>
    </row>
    <row r="114" spans="15:33" x14ac:dyDescent="0.25">
      <c r="O114"/>
      <c r="Q114"/>
      <c r="R114" s="15"/>
      <c r="T114" s="15"/>
      <c r="U114"/>
      <c r="W114"/>
      <c r="X114" s="15"/>
      <c r="AG114" s="15"/>
    </row>
    <row r="115" spans="15:33" x14ac:dyDescent="0.25">
      <c r="O115"/>
      <c r="Q115"/>
      <c r="R115" s="15"/>
      <c r="T115" s="15"/>
      <c r="U115"/>
      <c r="W115"/>
      <c r="X115" s="15"/>
      <c r="AG115" s="15"/>
    </row>
    <row r="116" spans="15:33" x14ac:dyDescent="0.25">
      <c r="O116"/>
      <c r="Q116"/>
      <c r="R116" s="15"/>
      <c r="T116" s="15"/>
      <c r="U116"/>
      <c r="W116"/>
      <c r="X116" s="15"/>
      <c r="AG116" s="15"/>
    </row>
    <row r="117" spans="15:33" x14ac:dyDescent="0.25">
      <c r="O117"/>
      <c r="Q117"/>
      <c r="R117" s="15"/>
      <c r="T117" s="15"/>
      <c r="U117"/>
      <c r="W117"/>
      <c r="X117" s="15"/>
      <c r="AG117" s="15"/>
    </row>
    <row r="118" spans="15:33" x14ac:dyDescent="0.25">
      <c r="O118"/>
      <c r="Q118"/>
      <c r="R118" s="15"/>
      <c r="T118" s="15"/>
      <c r="U118"/>
      <c r="W118"/>
      <c r="X118" s="15"/>
      <c r="AG118" s="15"/>
    </row>
    <row r="119" spans="15:33" x14ac:dyDescent="0.25">
      <c r="O119"/>
      <c r="Q119"/>
      <c r="R119" s="15"/>
      <c r="T119" s="15"/>
      <c r="U119"/>
      <c r="W119"/>
      <c r="X119" s="15"/>
      <c r="AG119" s="15"/>
    </row>
    <row r="120" spans="15:33" x14ac:dyDescent="0.25">
      <c r="O120"/>
      <c r="Q120"/>
      <c r="R120" s="15"/>
      <c r="T120" s="15"/>
      <c r="U120"/>
      <c r="W120"/>
      <c r="X120" s="15"/>
      <c r="AG120" s="15"/>
    </row>
    <row r="121" spans="15:33" x14ac:dyDescent="0.25">
      <c r="O121"/>
      <c r="Q121"/>
      <c r="R121" s="15"/>
      <c r="T121" s="15"/>
      <c r="U121"/>
      <c r="W121"/>
      <c r="X121" s="15"/>
      <c r="AG121" s="15"/>
    </row>
    <row r="122" spans="15:33" x14ac:dyDescent="0.25">
      <c r="O122"/>
      <c r="Q122"/>
      <c r="R122" s="15"/>
      <c r="T122" s="15"/>
      <c r="U122"/>
      <c r="W122"/>
      <c r="X122" s="15"/>
      <c r="AG122" s="15"/>
    </row>
    <row r="123" spans="15:33" x14ac:dyDescent="0.25">
      <c r="O123"/>
      <c r="Q123"/>
      <c r="R123" s="15"/>
      <c r="T123" s="15"/>
      <c r="U123"/>
      <c r="W123"/>
      <c r="X123" s="15"/>
      <c r="AG123" s="15"/>
    </row>
    <row r="124" spans="15:33" x14ac:dyDescent="0.25">
      <c r="O124"/>
      <c r="Q124"/>
      <c r="R124" s="15"/>
      <c r="T124" s="15"/>
      <c r="U124"/>
      <c r="W124"/>
      <c r="X124" s="15"/>
      <c r="AG124" s="15"/>
    </row>
    <row r="125" spans="15:33" x14ac:dyDescent="0.25">
      <c r="O125"/>
      <c r="Q125"/>
      <c r="R125" s="15"/>
      <c r="T125" s="15"/>
      <c r="U125"/>
      <c r="W125"/>
      <c r="X125" s="15"/>
      <c r="AG125" s="15"/>
    </row>
    <row r="126" spans="15:33" x14ac:dyDescent="0.25">
      <c r="O126"/>
      <c r="Q126"/>
      <c r="R126" s="15"/>
      <c r="T126" s="15"/>
      <c r="U126"/>
      <c r="W126"/>
      <c r="X126" s="15"/>
      <c r="AG126" s="15"/>
    </row>
    <row r="127" spans="15:33" x14ac:dyDescent="0.25">
      <c r="O127"/>
      <c r="Q127"/>
      <c r="R127" s="15"/>
      <c r="T127" s="15"/>
      <c r="U127"/>
      <c r="W127"/>
      <c r="X127" s="15"/>
      <c r="AG127" s="15"/>
    </row>
    <row r="128" spans="15:33" x14ac:dyDescent="0.25">
      <c r="O128"/>
      <c r="Q128"/>
      <c r="R128" s="15"/>
      <c r="T128" s="15"/>
      <c r="U128"/>
      <c r="W128"/>
      <c r="X128" s="15"/>
      <c r="AG128" s="15"/>
    </row>
    <row r="129" spans="15:33" x14ac:dyDescent="0.25">
      <c r="O129"/>
      <c r="Q129"/>
      <c r="R129" s="15"/>
      <c r="T129" s="15"/>
      <c r="U129"/>
      <c r="W129"/>
      <c r="X129" s="15"/>
      <c r="AG129" s="15"/>
    </row>
    <row r="130" spans="15:33" x14ac:dyDescent="0.25">
      <c r="O130"/>
      <c r="Q130"/>
      <c r="R130" s="15"/>
      <c r="T130" s="15"/>
      <c r="U130"/>
      <c r="W130"/>
      <c r="X130" s="15"/>
      <c r="AG130" s="15"/>
    </row>
    <row r="131" spans="15:33" x14ac:dyDescent="0.25">
      <c r="O131"/>
      <c r="Q131"/>
      <c r="R131" s="15"/>
      <c r="T131" s="15"/>
      <c r="U131"/>
      <c r="W131"/>
      <c r="X131" s="15"/>
      <c r="AG131" s="15"/>
    </row>
    <row r="132" spans="15:33" x14ac:dyDescent="0.25">
      <c r="O132"/>
      <c r="Q132"/>
      <c r="R132" s="15"/>
      <c r="T132" s="15"/>
      <c r="U132"/>
      <c r="W132"/>
      <c r="X132" s="15"/>
      <c r="AG132" s="15"/>
    </row>
    <row r="133" spans="15:33" x14ac:dyDescent="0.25">
      <c r="O133"/>
      <c r="Q133"/>
      <c r="R133" s="15"/>
      <c r="T133" s="15"/>
      <c r="U133"/>
      <c r="W133"/>
      <c r="X133" s="15"/>
      <c r="AG133" s="15"/>
    </row>
    <row r="134" spans="15:33" x14ac:dyDescent="0.25">
      <c r="O134"/>
      <c r="Q134"/>
      <c r="R134" s="15"/>
      <c r="T134" s="15"/>
      <c r="U134"/>
      <c r="W134"/>
      <c r="X134" s="15"/>
      <c r="AG134" s="15"/>
    </row>
    <row r="135" spans="15:33" x14ac:dyDescent="0.25">
      <c r="O135"/>
      <c r="Q135"/>
      <c r="R135" s="15"/>
      <c r="T135" s="15"/>
      <c r="U135"/>
      <c r="W135"/>
      <c r="X135" s="15"/>
      <c r="AG135" s="15"/>
    </row>
    <row r="136" spans="15:33" x14ac:dyDescent="0.25">
      <c r="O136"/>
      <c r="Q136"/>
      <c r="R136" s="15"/>
      <c r="T136" s="15"/>
      <c r="U136"/>
      <c r="W136"/>
      <c r="X136" s="15"/>
      <c r="AG136" s="15"/>
    </row>
    <row r="137" spans="15:33" x14ac:dyDescent="0.25">
      <c r="O137"/>
      <c r="Q137"/>
      <c r="R137" s="15"/>
      <c r="T137" s="15"/>
      <c r="U137"/>
      <c r="W137"/>
      <c r="X137" s="15"/>
      <c r="AG137" s="15"/>
    </row>
    <row r="138" spans="15:33" x14ac:dyDescent="0.25">
      <c r="O138"/>
      <c r="Q138"/>
      <c r="R138" s="15"/>
      <c r="T138" s="15"/>
      <c r="U138"/>
      <c r="W138"/>
      <c r="X138" s="15"/>
      <c r="AG138" s="15"/>
    </row>
    <row r="139" spans="15:33" x14ac:dyDescent="0.25">
      <c r="O139"/>
      <c r="Q139"/>
      <c r="R139" s="15"/>
      <c r="T139" s="15"/>
      <c r="U139"/>
      <c r="W139"/>
      <c r="X139" s="15"/>
      <c r="AG139" s="15"/>
    </row>
    <row r="140" spans="15:33" x14ac:dyDescent="0.25">
      <c r="O140"/>
      <c r="Q140"/>
      <c r="R140" s="15"/>
      <c r="T140" s="15"/>
      <c r="U140"/>
      <c r="W140"/>
      <c r="X140" s="15"/>
      <c r="AG140" s="15"/>
    </row>
    <row r="141" spans="15:33" x14ac:dyDescent="0.25">
      <c r="O141"/>
      <c r="Q141"/>
      <c r="R141" s="15"/>
      <c r="T141" s="15"/>
      <c r="U141"/>
      <c r="W141"/>
      <c r="X141" s="15"/>
      <c r="AG141" s="15"/>
    </row>
    <row r="142" spans="15:33" x14ac:dyDescent="0.25">
      <c r="O142"/>
      <c r="Q142"/>
      <c r="R142" s="15"/>
      <c r="T142" s="15"/>
      <c r="U142"/>
      <c r="W142"/>
      <c r="X142" s="15"/>
      <c r="AG142" s="15"/>
    </row>
    <row r="143" spans="15:33" x14ac:dyDescent="0.25">
      <c r="O143"/>
      <c r="Q143"/>
      <c r="R143" s="15"/>
      <c r="T143" s="15"/>
      <c r="U143"/>
      <c r="W143"/>
      <c r="X143" s="15"/>
      <c r="AG143" s="15"/>
    </row>
    <row r="144" spans="15:33" x14ac:dyDescent="0.25">
      <c r="O144"/>
      <c r="Q144"/>
      <c r="R144" s="15"/>
      <c r="T144" s="15"/>
      <c r="U144"/>
      <c r="W144"/>
      <c r="X144" s="15"/>
      <c r="AG144" s="15"/>
    </row>
    <row r="145" spans="15:33" x14ac:dyDescent="0.25">
      <c r="O145"/>
      <c r="Q145"/>
      <c r="R145" s="15"/>
      <c r="T145" s="15"/>
      <c r="U145"/>
      <c r="W145"/>
      <c r="X145" s="15"/>
      <c r="AG145" s="15"/>
    </row>
    <row r="146" spans="15:33" x14ac:dyDescent="0.25">
      <c r="O146"/>
      <c r="Q146"/>
      <c r="R146" s="15"/>
      <c r="T146" s="15"/>
      <c r="U146"/>
      <c r="W146"/>
      <c r="X146" s="15"/>
      <c r="AG146" s="15"/>
    </row>
    <row r="147" spans="15:33" x14ac:dyDescent="0.25">
      <c r="O147"/>
      <c r="Q147"/>
      <c r="R147" s="15"/>
      <c r="T147" s="15"/>
      <c r="U147"/>
      <c r="W147"/>
      <c r="X147" s="15"/>
      <c r="AG147" s="15"/>
    </row>
    <row r="148" spans="15:33" x14ac:dyDescent="0.25">
      <c r="O148"/>
      <c r="Q148"/>
      <c r="R148" s="15"/>
      <c r="T148" s="15"/>
      <c r="U148"/>
      <c r="W148"/>
      <c r="X148" s="15"/>
      <c r="AG148" s="15"/>
    </row>
    <row r="149" spans="15:33" x14ac:dyDescent="0.25">
      <c r="O149"/>
      <c r="Q149"/>
      <c r="R149" s="15"/>
      <c r="T149" s="15"/>
      <c r="U149"/>
      <c r="W149"/>
      <c r="X149" s="15"/>
      <c r="AG149" s="15"/>
    </row>
    <row r="150" spans="15:33" x14ac:dyDescent="0.25">
      <c r="O150"/>
      <c r="Q150"/>
      <c r="R150" s="15"/>
      <c r="T150" s="15"/>
      <c r="U150"/>
      <c r="W150"/>
      <c r="X150" s="15"/>
      <c r="AG150" s="15"/>
    </row>
    <row r="151" spans="15:33" x14ac:dyDescent="0.25">
      <c r="O151"/>
      <c r="Q151"/>
      <c r="R151" s="15"/>
      <c r="T151" s="15"/>
      <c r="U151"/>
      <c r="W151"/>
      <c r="X151" s="15"/>
      <c r="AG151" s="15"/>
    </row>
    <row r="152" spans="15:33" x14ac:dyDescent="0.25">
      <c r="O152"/>
      <c r="Q152"/>
      <c r="R152" s="15"/>
      <c r="T152" s="15"/>
      <c r="U152"/>
      <c r="W152"/>
      <c r="X152" s="15"/>
      <c r="AG152" s="15"/>
    </row>
    <row r="153" spans="15:33" x14ac:dyDescent="0.25">
      <c r="O153"/>
      <c r="Q153"/>
      <c r="R153" s="15"/>
      <c r="T153" s="15"/>
      <c r="U153"/>
      <c r="W153"/>
      <c r="X153" s="15"/>
      <c r="AG153" s="15"/>
    </row>
    <row r="154" spans="15:33" x14ac:dyDescent="0.25">
      <c r="O154"/>
      <c r="Q154"/>
      <c r="R154" s="15"/>
      <c r="T154" s="15"/>
      <c r="U154"/>
      <c r="W154"/>
      <c r="X154" s="15"/>
      <c r="AG154" s="15"/>
    </row>
    <row r="155" spans="15:33" x14ac:dyDescent="0.25">
      <c r="O155"/>
      <c r="Q155"/>
      <c r="R155" s="15"/>
      <c r="T155" s="15"/>
      <c r="U155"/>
      <c r="W155"/>
      <c r="X155" s="15"/>
      <c r="AG155" s="15"/>
    </row>
    <row r="156" spans="15:33" x14ac:dyDescent="0.25">
      <c r="O156"/>
      <c r="Q156"/>
      <c r="R156" s="15"/>
      <c r="T156" s="15"/>
      <c r="U156"/>
      <c r="W156"/>
      <c r="X156" s="15"/>
      <c r="AG156" s="15"/>
    </row>
    <row r="157" spans="15:33" x14ac:dyDescent="0.25">
      <c r="O157"/>
      <c r="Q157"/>
      <c r="R157" s="15"/>
      <c r="T157" s="15"/>
      <c r="U157"/>
      <c r="W157"/>
      <c r="X157" s="15"/>
      <c r="AG157" s="15"/>
    </row>
  </sheetData>
  <mergeCells count="2">
    <mergeCell ref="M23:N23"/>
    <mergeCell ref="M24:N24"/>
  </mergeCells>
  <conditionalFormatting sqref="E30:F44">
    <cfRule type="cellIs" dxfId="11" priority="4" operator="greaterThan">
      <formula>10</formula>
    </cfRule>
    <cfRule type="cellIs" dxfId="10" priority="5" operator="lessThan">
      <formula>-10</formula>
    </cfRule>
  </conditionalFormatting>
  <conditionalFormatting sqref="E4:G18 K4:M18 Q4:S18 W4:Y18">
    <cfRule type="cellIs" dxfId="9" priority="8" operator="greaterThan">
      <formula>10</formula>
    </cfRule>
    <cfRule type="cellIs" dxfId="8" priority="9" operator="lessThan">
      <formula>-10</formula>
    </cfRule>
  </conditionalFormatting>
  <conditionalFormatting sqref="G4:G21">
    <cfRule type="cellIs" dxfId="7" priority="14" operator="between">
      <formula>10</formula>
      <formula>-10</formula>
    </cfRule>
  </conditionalFormatting>
  <conditionalFormatting sqref="H23:H24">
    <cfRule type="cellIs" dxfId="6" priority="7" operator="between">
      <formula>10</formula>
      <formula>-10</formula>
    </cfRule>
  </conditionalFormatting>
  <conditionalFormatting sqref="M4:M21">
    <cfRule type="cellIs" dxfId="5" priority="13" operator="between">
      <formula>10</formula>
      <formula>-10</formula>
    </cfRule>
  </conditionalFormatting>
  <conditionalFormatting sqref="S4:S21">
    <cfRule type="cellIs" dxfId="4" priority="12" operator="between">
      <formula>10</formula>
      <formula>-10</formula>
    </cfRule>
  </conditionalFormatting>
  <conditionalFormatting sqref="Y4:Y21">
    <cfRule type="cellIs" dxfId="3" priority="11" operator="between">
      <formula>10</formula>
      <formula>-10</formula>
    </cfRule>
  </conditionalFormatting>
  <conditionalFormatting sqref="AC4:AE15">
    <cfRule type="cellIs" dxfId="2" priority="1" operator="greaterThan">
      <formula>10</formula>
    </cfRule>
    <cfRule type="cellIs" dxfId="1" priority="2" operator="lessThan">
      <formula>-10</formula>
    </cfRule>
  </conditionalFormatting>
  <conditionalFormatting sqref="AE4:AE15">
    <cfRule type="cellIs" dxfId="0" priority="3" operator="between">
      <formula>10</formula>
      <formula>-10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Trim 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Felipe Rezende</cp:lastModifiedBy>
  <dcterms:created xsi:type="dcterms:W3CDTF">2017-04-21T05:36:45Z</dcterms:created>
  <dcterms:modified xsi:type="dcterms:W3CDTF">2024-01-10T04:45:20Z</dcterms:modified>
</cp:coreProperties>
</file>